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26853\Desktop\正式用作品集\拆解案\"/>
    </mc:Choice>
  </mc:AlternateContent>
  <bookViews>
    <workbookView windowWidth="27945" windowHeight="11805" activeTab="2"/>
  </bookViews>
  <sheets>
    <sheet name="00_配表说明" sheetId="1" r:id="rId1"/>
    <sheet name="01_伤害乘区总表" sheetId="2" r:id="rId2"/>
    <sheet name="02_乘区参数字典" sheetId="3" r:id="rId3"/>
    <sheet name="03_伤害结算算例" sheetId="4" r:id="rId4"/>
    <sheet name="04_敌方档案与抗性" sheetId="5" r:id="rId5"/>
    <sheet name="05_敌方数值与失衡" sheetId="6" r:id="rId6"/>
    <sheet name="06_通用等级成长曲线" sheetId="7" r:id="rId7"/>
    <sheet name="07_异常状态与法术反应" sheetId="8" r:id="rId8"/>
    <sheet name="08_干员最终面板汇总" sheetId="9" r:id="rId9"/>
    <sheet name="09_枚举字典" sheetId="10" r:id="rId10"/>
    <sheet name="10_干员失衡值" sheetId="11" r:id="rId11"/>
    <sheet name="11_失衡与敌人输出窗口" sheetId="12" r:id="rId12"/>
  </sheets>
  <definedNames>
    <definedName name="_xlnm._FilterDatabase" localSheetId="1" hidden="1">'01_伤害乘区总表'!$A$2:$H$23</definedName>
    <definedName name="_xlnm._FilterDatabase" localSheetId="2" hidden="1">'02_乘区参数字典'!$A$2:$G$37</definedName>
    <definedName name="_xlnm._FilterDatabase" localSheetId="4" hidden="1">'04_敌方档案与抗性'!$A$2:$O$88</definedName>
    <definedName name="_xlnm._FilterDatabase" localSheetId="5" hidden="1">'05_敌方数值与失衡'!$A$2:$AG$88</definedName>
    <definedName name="_xlnm._FilterDatabase" localSheetId="6" hidden="1">'06_通用等级成长曲线'!$A$2:$F$102</definedName>
    <definedName name="_xlnm._FilterDatabase" localSheetId="8" hidden="1">'08_干员最终面板汇总'!$A$2:$AR$29</definedName>
    <definedName name="_xlnm._FilterDatabase" localSheetId="10" hidden="1">'10_干员失衡值'!$A$17:$N$48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<sst xmlns="http://schemas.openxmlformats.org/spreadsheetml/2006/main" count="2188" uniqueCount="1000">
  <si>
    <t>明日方舟：终末地 —— 战斗数值体系配置表</t>
  </si>
  <si>
    <t>一、本表解决什么</t>
  </si>
  <si>
    <t>本表补齐此前配表体系缺失的「结算层」，让 04/05/06 三个拆解模块（角色技能战斗状态机、敌方 AI 与 BOSS 机制、战斗数值乘区与属性体系）有可引用的数据底稿。</t>
  </si>
  <si>
    <t/>
  </si>
  <si>
    <t>二、Sheet 索引</t>
  </si>
  <si>
    <t>01_伤害乘区总表        14 个常规乘区 + 2 个异常专属乘区，含计算公式、叠加方式、作用对象</t>
  </si>
  <si>
    <t>02_乘区参数字典        所有硬编码系数：暴击基线、防御效率系数、处决承伤系数、抗性档位等</t>
  </si>
  <si>
    <t>03_伤害结算算例        可交互算例：改蓝色输入格，逐级看每个乘区的贡献与最终伤害</t>
  </si>
  <si>
    <t>04_敌方档案与抗性      86 名敌人的等阶、出现位置、特性、掉落、六元素承伤系数</t>
  </si>
  <si>
    <t>05_敌方数值与失衡      86 名敌人的等级面板（Lv1~100 关键档）+ 失衡/抗打断/韧性全参数</t>
  </si>
  <si>
    <t>06_通用等级成长曲线    85 名敌人共用的等级成长曲线，100 级逐档系数与增长率</t>
  </si>
  <si>
    <t>07_异常状态与法术反应  四类法术异常的等级效果，八种异常反应的基础倍率</t>
  </si>
  <si>
    <t>08_干员最终面板汇总    27 名干员 Lv90 满级：攻击力全链路计算、双抗、暴击区期望</t>
  </si>
  <si>
    <t>09_枚举字典            全表可枚举字段的取值域</t>
  </si>
  <si>
    <t>10_干员失衡值          31 名干员的失衡值明细 + 频率建模后的失衡产出（可改输入格）</t>
  </si>
  <si>
    <t>11_失衡与敌人输出窗口  队伍失衡产出 P → 敌人输出窗口 ω_e，含 R 敏感性</t>
  </si>
  <si>
    <t>三、数据来源与取数纪律</t>
  </si>
  <si>
    <t>1. fz.wiki（https://fz.wiki/wiki/敌人/&lt;名&gt;）—— 页面内嵌 Next.js RSC JSON，含 1~100 级 HP/ATK/DEF 曲线、失衡/抗打断/韧性参数、逐元素承伤系数、特性、掉落、出现位置。86 名敌人全量抓取。</t>
  </si>
  <si>
    <t>2. biligame wiki（MediaWiki:EnmAttrData.json + Category:敌方）—— 仅作交叉校验用。</t>
  </si>
  <si>
    <t>3. NGA《终末地数值学导论》tid=45727132、endfield.wiki.gg/wiki/Damage、gachia —— 伤害乘区与系数的文本结论。</t>
  </si>
  <si>
    <t>4. 本工作区已入库数据（dataset.py / sk_data.py）—— 干员等级面板、武器面板、毕业配装。</t>
  </si>
  <si>
    <t>取数纪律：所有数值均由脚本抓取原始源后解析落表，不经模型转述。此前一次教训：材料数量由 skillCalculator JS 实时计算、HTML 中写作「* 0」，模型转述时报出了一组原始源中根本不存在的数量。</t>
  </si>
  <si>
    <t>四、数据状态三色</t>
  </si>
  <si>
    <t>实测（绿）= 有明确公开源且经脚本解析；待补录（黄）= 公开源无此字段；存疑（红）= 多源冲突或疑录入错误。</t>
  </si>
  <si>
    <t>宁可标待补，不编造数值。多源冲突一律并列写入备注，不擅自取一个值。</t>
  </si>
  <si>
    <t>01 伤害乘区总表 —— 常规伤害 = 14 区连乘（异常伤害再 ×2 区）</t>
  </si>
  <si>
    <t>序号</t>
  </si>
  <si>
    <t>乘区</t>
  </si>
  <si>
    <t>字段</t>
  </si>
  <si>
    <t>计算公式</t>
  </si>
  <si>
    <t>叠加方式</t>
  </si>
  <si>
    <t>作用对象</t>
  </si>
  <si>
    <t>状态</t>
  </si>
  <si>
    <t>备注</t>
  </si>
  <si>
    <t>基础伤害区</t>
  </si>
  <si>
    <t>BaseDMG</t>
  </si>
  <si>
    <t>伤害倍率 × 攻击力 × 虚弱区</t>
  </si>
  <si>
    <t>区内乘算</t>
  </si>
  <si>
    <t>双向</t>
  </si>
  <si>
    <t>实测</t>
  </si>
  <si>
    <t>游戏中未特别注明的伤害均基于攻击力</t>
  </si>
  <si>
    <t>└攻击力</t>
  </si>
  <si>
    <t>ATK</t>
  </si>
  <si>
    <t>[(干员基础攻击力+武器基础攻击力)×(1+百分比加成)+固定数值加成]×(1+能力值加成)</t>
  </si>
  <si>
    <t>先加后乘</t>
  </si>
  <si>
    <t>己方</t>
  </si>
  <si>
    <t>面板显示向下取整；四维只取整数部分参与计算</t>
  </si>
  <si>
    <t>　└能力值加成</t>
  </si>
  <si>
    <t>AttrBonus</t>
  </si>
  <si>
    <t>主能力×0.005 + 副能力×0.002</t>
  </si>
  <si>
    <t>加算</t>
  </si>
  <si>
    <t>相比再次测试减半</t>
  </si>
  <si>
    <t>└虚弱区</t>
  </si>
  <si>
    <t>Weaken</t>
  </si>
  <si>
    <t>Π(1−虚弱效果)</t>
  </si>
  <si>
    <t>乘算(非线性)</t>
  </si>
  <si>
    <t>降输出</t>
  </si>
  <si>
    <t>仅卡契尔终结技提供，全游戏极稀有</t>
  </si>
  <si>
    <t>暴击区</t>
  </si>
  <si>
    <t>Crit</t>
  </si>
  <si>
    <t>暴击时 1+暴击伤害；未暴击 1；期望 1+暴击率×暴击伤害</t>
  </si>
  <si>
    <t>—</t>
  </si>
  <si>
    <t>干员基础暴击率5%/暴击伤害50%；敌人基础暴击率0/暴击伤害50%</t>
  </si>
  <si>
    <t>伤害加成区</t>
  </si>
  <si>
    <t>DMGBonus</t>
  </si>
  <si>
    <t>100% + 伤害类型加成 + 技能类型加成 + 失衡伤害加成 + 其他</t>
  </si>
  <si>
    <t>增输出</t>
  </si>
  <si>
    <t>伤害类型：物理/法术(灼热·电磁·寒冷·自然)/超域；技能类型：普攻/战技/连携技/终结技</t>
  </si>
  <si>
    <t>注意：「全技能伤害提升」不含普通攻击</t>
  </si>
  <si>
    <t>易错点</t>
  </si>
  <si>
    <t>伤害减免区</t>
  </si>
  <si>
    <t>DMGReduction</t>
  </si>
  <si>
    <t>1 − 伤害类型伤害减免</t>
  </si>
  <si>
    <t>加算后乘</t>
  </si>
  <si>
    <t>降挨打</t>
  </si>
  <si>
    <t>全伤害减免/超域减免/物理减免/自然减免；与庇护区、抗性区区分</t>
  </si>
  <si>
    <t>易伤区</t>
  </si>
  <si>
    <t>Vulnerable</t>
  </si>
  <si>
    <t>1 + Σ易伤</t>
  </si>
  <si>
    <t>增挨打</t>
  </si>
  <si>
    <t>导电、碎甲、管理员天赋[现实静滞]等；文本未标「脆弱」的受伤害提升均归此区</t>
  </si>
  <si>
    <t>增幅区</t>
  </si>
  <si>
    <t>Amplify</t>
  </si>
  <si>
    <t>1 + Σ增幅效果</t>
  </si>
  <si>
    <t>「目标造成的特定属性伤害提高」；赛希、安塔尔终结技；通常作用于全队</t>
  </si>
  <si>
    <t>庇护区</t>
  </si>
  <si>
    <t>Protect</t>
  </si>
  <si>
    <t>1 − max(庇护效果)</t>
  </si>
  <si>
    <t>取最大值(不叠加)</t>
  </si>
  <si>
    <t>昼雪、卡契尔战技；与伤害减免、抗性区分</t>
  </si>
  <si>
    <t>脆弱区</t>
  </si>
  <si>
    <t>Fragile</t>
  </si>
  <si>
    <t>1 + Σ脆弱效果</t>
  </si>
  <si>
    <t>安塔尔/艾维文娜/洁尔佩塔/黎风/艾尔黛拉/埃特拉；文本明确标注「脆弱效果」</t>
  </si>
  <si>
    <t>防御区</t>
  </si>
  <si>
    <t>DEF</t>
  </si>
  <si>
    <t>真实伤害→1；DEF≥0→100/(DEF+100)；DEF&lt;0→2−0.99^(−DEF)</t>
  </si>
  <si>
    <t>0.01 称防御效率系数；干员基础DEF=0，敌人基础DEF=100且不随等级 → 对敌默认 0.5</t>
  </si>
  <si>
    <t>失衡易伤区</t>
  </si>
  <si>
    <t>PoiseBreak</t>
  </si>
  <si>
    <t>无失衡参数/未失衡→1；失衡中→1.3</t>
  </si>
  <si>
    <t>目前所有敌人失衡易伤系数均为 1.3</t>
  </si>
  <si>
    <t>└处决承伤系数</t>
  </si>
  <si>
    <t>Execute</t>
  </si>
  <si>
    <t>普通1 / 进阶1.25 / 精英1.5 / 领袖1.5 / 头目1.75</t>
  </si>
  <si>
    <t>仅影响处决伤害，与等阶直接相关。NGA 的 4 档命名把领袖记为 1.75，实测领袖为 1.5、1.75 属头目档</t>
  </si>
  <si>
    <t>非主控减伤区</t>
  </si>
  <si>
    <t>NonCtrl</t>
  </si>
  <si>
    <t>不对非主控减伤→1；否则→非主控承伤系数</t>
  </si>
  <si>
    <t>系数取值 0/0.01/0.1/0.2/0.3/0.4/0.5/0.7；直接作用于总伤害</t>
  </si>
  <si>
    <t>抗性区</t>
  </si>
  <si>
    <t>RES</t>
  </si>
  <si>
    <t>属性承伤系数 + 抗性降低/100 − 抗性提升/100</t>
  </si>
  <si>
    <t>干员抗性区最小 0.1；敌人按字母档位，存在逐敌人覆盖</t>
  </si>
  <si>
    <t>└干员物理/法术抗性</t>
  </si>
  <si>
    <t>OpRES</t>
  </si>
  <si>
    <t>100 − 100/(0.001×敏捷或智识 + 1)</t>
  </si>
  <si>
    <t>0.001 称敏捷/智识效率系数；法术抗性综合四元素</t>
  </si>
  <si>
    <t>特殊加成区</t>
  </si>
  <si>
    <t>Special</t>
  </si>
  <si>
    <t>1 + 特殊加成</t>
  </si>
  <si>
    <t>连击：战技+30/45/60/75%，终结技+20/30/40/50%（按层数）</t>
  </si>
  <si>
    <t>法术等级区（仅异常）</t>
  </si>
  <si>
    <t>Level</t>
  </si>
  <si>
    <t>物理异常 1+(Lv−1)/392；法术异常/爆发/碎冰 1+(Lv−1)/196</t>
  </si>
  <si>
    <t>Lv90 满级分别约 1.227 / 1.454；gachia 表述 (195+Lv)/196 与后者等价</t>
  </si>
  <si>
    <t>源石技艺加成区（仅异常）</t>
  </si>
  <si>
    <t>ArtsIntensity</t>
  </si>
  <si>
    <t>1 + 源石技艺强度/100</t>
  </si>
  <si>
    <t>存疑</t>
  </si>
  <si>
    <t>wiki.gg 为线性 1+AI/100；另有 (3×AI+300)/(AI+300) 软上限 300% 的说法，两说并存待实机校准</t>
  </si>
  <si>
    <t>常规伤害 = 基础伤害区 × 暴击区 × 伤害加成区 × 伤害减免区 × 易伤区 × 增幅区 × 庇护区 × 脆弱区 × 防御区 × 失衡易伤区 × 非主控减伤区 × 抗性区 × 特殊加成区</t>
  </si>
  <si>
    <t>异常伤害 = 上述全部 × 法术等级区 × 源石技艺加成区</t>
  </si>
  <si>
    <t>设计意图观察：终末地的乘区是「全乘算、结构统一」的骨架（与米家「多乘区低数值 + 少乘区高数值」的混合设计相反），再在骨架上挂四类「稀有修饰效果」（增幅/虚弱/脆弱/庇护）。这四类在干员页面会显示成标签，属于可读的角色定位信号。</t>
  </si>
  <si>
    <t>02 乘区参数字典 —— 全表硬编码系数</t>
  </si>
  <si>
    <t>参数</t>
  </si>
  <si>
    <t>数值</t>
  </si>
  <si>
    <t>单位</t>
  </si>
  <si>
    <t>适用对象</t>
  </si>
  <si>
    <t>来源</t>
  </si>
  <si>
    <t>干员基础暴击率</t>
  </si>
  <si>
    <t>率</t>
  </si>
  <si>
    <t>干员</t>
  </si>
  <si>
    <t>NGA数值学导论</t>
  </si>
  <si>
    <t>干员基础暴击伤害</t>
  </si>
  <si>
    <t>敌人基础暴击率</t>
  </si>
  <si>
    <t>敌人</t>
  </si>
  <si>
    <t>敌人基础暴击伤害</t>
  </si>
  <si>
    <t>干员基础防御力</t>
  </si>
  <si>
    <t>点</t>
  </si>
  <si>
    <t>NGA/wiki.gg</t>
  </si>
  <si>
    <t>不随等级变化</t>
  </si>
  <si>
    <t>敌人基础防御力</t>
  </si>
  <si>
    <t>NGA/wiki.gg + 本站86样本校验</t>
  </si>
  <si>
    <t>85 名敌人 100 个等级全部为 100，已全样本验证</t>
  </si>
  <si>
    <t>防御效率系数</t>
  </si>
  <si>
    <t>系数</t>
  </si>
  <si>
    <t>通用</t>
  </si>
  <si>
    <t>防御区=1/(0.01×DEF+1)</t>
  </si>
  <si>
    <t>敏捷/智识效率系数</t>
  </si>
  <si>
    <t>抗性=100−100/(0.001×敏捷或智识+1)</t>
  </si>
  <si>
    <t>干员抗性区下限</t>
  </si>
  <si>
    <t>失衡易伤系数</t>
  </si>
  <si>
    <t>目前所有敌人一致</t>
  </si>
  <si>
    <t>处决承伤系数·普通</t>
  </si>
  <si>
    <t>NGA + 本站 86 样本校验</t>
  </si>
  <si>
    <t>处决承伤系数·进阶</t>
  </si>
  <si>
    <t>处决承伤系数·精英</t>
  </si>
  <si>
    <t>处决承伤系数·领袖</t>
  </si>
  <si>
    <t>fz.wiki 86 样本</t>
  </si>
  <si>
    <t>NGA 原文把领袖记为 1.75，与实测不符；领袖与精英同为 1.5</t>
  </si>
  <si>
    <t>处决承伤系数·头目</t>
  </si>
  <si>
    <t>NGA 未列头目档（其 4 档命名比游戏少一档），本站补上</t>
  </si>
  <si>
    <t>处决技力回复·普通/进阶/精英/领袖/头目</t>
  </si>
  <si>
    <t>25 / 35 / 50 / 50 / 100</t>
  </si>
  <si>
    <t>头目处决回复的技力是领袖的 2 倍</t>
  </si>
  <si>
    <t>失衡恢复时间·普通</t>
  </si>
  <si>
    <t>秒</t>
  </si>
  <si>
    <t>39 名普通敌人全部为 6 秒</t>
  </si>
  <si>
    <t>失衡恢复时间·进阶</t>
  </si>
  <si>
    <t>7 ~ 7.5</t>
  </si>
  <si>
    <t>失衡恢复时间·精英</t>
  </si>
  <si>
    <t>6 ~ 9</t>
  </si>
  <si>
    <t>失衡恢复时间·领袖</t>
  </si>
  <si>
    <t>8 ~ 13</t>
  </si>
  <si>
    <t>失衡恢复时间·头目</t>
  </si>
  <si>
    <t>6 ~ 24</t>
  </si>
  <si>
    <t>头目级差异最大：最短幽林之怒 8 秒，最长白垩界卫 24 秒</t>
  </si>
  <si>
    <t>抗性档位 D</t>
  </si>
  <si>
    <t>承伤系数</t>
  </si>
  <si>
    <t>即 0 点抗性</t>
  </si>
  <si>
    <t>抗性档位 C</t>
  </si>
  <si>
    <t>即 20 点抗性</t>
  </si>
  <si>
    <t>抗性档位 B</t>
  </si>
  <si>
    <t>即 50 点抗性</t>
  </si>
  <si>
    <t>超域承伤系数</t>
  </si>
  <si>
    <t>敌人超域抗性默认 0</t>
  </si>
  <si>
    <t>连击·战技 1/2/3/4 层</t>
  </si>
  <si>
    <t>0.30/0.45/0.60/0.75</t>
  </si>
  <si>
    <t>非线性叠加</t>
  </si>
  <si>
    <t>连击·终结技 1/2/3/4 层</t>
  </si>
  <si>
    <t>0.20/0.30/0.40/0.50</t>
  </si>
  <si>
    <t>非主控承伤系数取值</t>
  </si>
  <si>
    <t>0/0.01/0.1/0.2/0.3/0.4/0.5/0.7</t>
  </si>
  <si>
    <t>物理异常等级系数</t>
  </si>
  <si>
    <t>1+(Lv−1)/392</t>
  </si>
  <si>
    <t>Lv90≈1.227</t>
  </si>
  <si>
    <t>法术异常·爆发·碎冰等级系数</t>
  </si>
  <si>
    <t>1+(Lv−1)/196</t>
  </si>
  <si>
    <t>NGA/wiki.gg/gachia</t>
  </si>
  <si>
    <t>Lv90≈1.454；gachia 表述 (195+Lv)/196 等价</t>
  </si>
  <si>
    <t>源石技艺加成区</t>
  </si>
  <si>
    <t>1+源石技艺强度/100</t>
  </si>
  <si>
    <t>wiki.gg / NGA</t>
  </si>
  <si>
    <t>另有 (3×AI+300)/(AI+300) 软上限300% 的说法</t>
  </si>
  <si>
    <t>4星全套装备防御力</t>
  </si>
  <si>
    <t>40+30+15×2</t>
  </si>
  <si>
    <t>5星全套装备防御力</t>
  </si>
  <si>
    <t>56+42+21×2；比4星再降伤16.67%</t>
  </si>
  <si>
    <t>5星全套受击防御区</t>
  </si>
  <si>
    <t>wiki.gg/NGA</t>
  </si>
  <si>
    <t>140 DEF → 58.33% 减伤</t>
  </si>
  <si>
    <t>对敌默认防御区</t>
  </si>
  <si>
    <t>敌人 DEF=100</t>
  </si>
  <si>
    <t>03 伤害结算算例 —— 改蓝色输入格，逐级看每个乘区的贡献</t>
  </si>
  <si>
    <t>【输入区】蓝色格可改</t>
  </si>
  <si>
    <t>干员基础攻击力</t>
  </si>
  <si>
    <t>Lv90 面板值（管理员）</t>
  </si>
  <si>
    <t>武器基础攻击力</t>
  </si>
  <si>
    <t>毕业武器面板</t>
  </si>
  <si>
    <t>攻击力百分比加成</t>
  </si>
  <si>
    <t>武器词条 + 装备词条，如 攻击力+39%</t>
  </si>
  <si>
    <t>攻击力固定加成</t>
  </si>
  <si>
    <t>装备固定值攻击力</t>
  </si>
  <si>
    <t>主能力值</t>
  </si>
  <si>
    <t>四维之一 + 装备/武器加成（务必含装备词条与武器词条）</t>
  </si>
  <si>
    <t>副能力值</t>
  </si>
  <si>
    <t>技能倍率</t>
  </si>
  <si>
    <t>技能面板倍率（技能满级约 2.25 倍于 Lv1）</t>
  </si>
  <si>
    <t>暴击率</t>
  </si>
  <si>
    <t>基础 5% + 装备</t>
  </si>
  <si>
    <t>暴击伤害</t>
  </si>
  <si>
    <t>基础 50% + 装备</t>
  </si>
  <si>
    <t>伤害加成区合计</t>
  </si>
  <si>
    <t>伤害类型 + 技能类型 + 失衡 + 其他</t>
  </si>
  <si>
    <t>易伤效果合计</t>
  </si>
  <si>
    <t>导电/碎甲/现实静滞等</t>
  </si>
  <si>
    <t>脆弱效果合计</t>
  </si>
  <si>
    <t>文本明确标「脆弱效果」的</t>
  </si>
  <si>
    <t>增幅效果合计</t>
  </si>
  <si>
    <t>赛希、安塔尔终结技等</t>
  </si>
  <si>
    <t>庇护效果(取最大)</t>
  </si>
  <si>
    <t>昼雪、卡契尔战技</t>
  </si>
  <si>
    <t>伤害减免合计</t>
  </si>
  <si>
    <t>装备副词条提供的减免</t>
  </si>
  <si>
    <t>特殊加成（连击等）</t>
  </si>
  <si>
    <t>连击：战技 +30/45/60/75%</t>
  </si>
  <si>
    <t>是否失衡(1/0)</t>
  </si>
  <si>
    <t>开关</t>
  </si>
  <si>
    <t>1 = 敌人处于失衡状态</t>
  </si>
  <si>
    <t>敌人防御力 DEF</t>
  </si>
  <si>
    <t>全敌人恒为 100，不随等级</t>
  </si>
  <si>
    <t>敌人属性承伤系数</t>
  </si>
  <si>
    <t>C 档 = 0.8；D 档 = 1.0；B 档 = 0.5</t>
  </si>
  <si>
    <t>非主控承伤系数</t>
  </si>
  <si>
    <t>1 = 主控；否则填 0~0.7</t>
  </si>
  <si>
    <t>【逐级结算】黄色格为公式，自动计算</t>
  </si>
  <si>
    <t>能力值加成</t>
  </si>
  <si>
    <t>裸攻击力</t>
  </si>
  <si>
    <t>[(干员基础+武器基础)×(1+百分比)+固定值]</t>
  </si>
  <si>
    <t>最终攻击力</t>
  </si>
  <si>
    <t>裸攻击力 × (1+能力值加成)</t>
  </si>
  <si>
    <t>技能倍率 × 最终攻击力</t>
  </si>
  <si>
    <t>暴击区（未暴击）</t>
  </si>
  <si>
    <t>未暴击恒为 1</t>
  </si>
  <si>
    <t>暴击区（暴击）</t>
  </si>
  <si>
    <t>1 + 暴击伤害</t>
  </si>
  <si>
    <t>暴击区（期望）</t>
  </si>
  <si>
    <t>1 + 暴击率 × 暴击伤害</t>
  </si>
  <si>
    <t>1 + 合计</t>
  </si>
  <si>
    <t>1 + Σ脆弱</t>
  </si>
  <si>
    <t>1 + Σ增幅</t>
  </si>
  <si>
    <t>1 − max(庇护)</t>
  </si>
  <si>
    <t>1 − 减免合计</t>
  </si>
  <si>
    <t>DEF≥0 → 100/(DEF+100)；DEF&lt;0 → 2−0.99^(−DEF)</t>
  </si>
  <si>
    <t>失衡 → 1.3，否则 1</t>
  </si>
  <si>
    <t>承伤系数 + 降抗/100</t>
  </si>
  <si>
    <t>直接作用于总伤害</t>
  </si>
  <si>
    <t>【输出区】</t>
  </si>
  <si>
    <t>未暴击伤害</t>
  </si>
  <si>
    <t>期望伤害（本次命中）</t>
  </si>
  <si>
    <t>总倍率（不含暴击与基础伤害区）</t>
  </si>
  <si>
    <t>【边际收益速查】在算例基线上，各输入 +1 单位带来的期望伤害变化</t>
  </si>
  <si>
    <t>做法：把某个蓝色输入格单独 +0.01（或 +1），看「期望伤害」变化百分比。终末地全乘算结构下，往不同乘区分散投入的收益远高于单点堆高。</t>
  </si>
  <si>
    <t>⚠ 待实机核对：按 NGA 的「能力值加成 = 主能力×0.005 + 副能力×0.002」，Lv90 满配主能力约 300 时加成量级达 1.5~1.9（即攻击力 ×2.5~2.9），最终攻击力落在 2000~2400。量级偏大但全干员一致，未发现个别离群。建议用游戏内面板核一次：面板攻击力应等于「裸攻击力 ×(1+能力值加成)」向下取整。若不符，优先怀疑两处口径——① 0.005/0.002 是否仍适用当前版本；② 主/副能力值是否已含装备与武器词条加成（NGA 原文未明说）。</t>
  </si>
  <si>
    <t>04 敌方档案与抗性 —— 86 名敌人 × 六元素承伤系数</t>
  </si>
  <si>
    <t>名称</t>
  </si>
  <si>
    <t>敌人ID</t>
  </si>
  <si>
    <t>等阶</t>
  </si>
  <si>
    <t>危险目标</t>
  </si>
  <si>
    <t>物理</t>
  </si>
  <si>
    <t>灼热</t>
  </si>
  <si>
    <t>电磁</t>
  </si>
  <si>
    <t>寒冷</t>
  </si>
  <si>
    <t>自然</t>
  </si>
  <si>
    <t>超域</t>
  </si>
  <si>
    <t>档位外特例</t>
  </si>
  <si>
    <t>出现位置</t>
  </si>
  <si>
    <t>特性</t>
  </si>
  <si>
    <t>掉落</t>
  </si>
  <si>
    <t>浊流天使δ</t>
  </si>
  <si>
    <t>eny_0105_wgslime2</t>
  </si>
  <si>
    <t>普通敌人</t>
  </si>
  <si>
    <t>武陵城、首墩、能量淤积点·武陵城、能量淤积点·首墩</t>
  </si>
  <si>
    <t>会从远处快速接近，攻击命中时对干员施加寒冷附着。</t>
  </si>
  <si>
    <t>坚韧的水</t>
  </si>
  <si>
    <t>精锐劫掠者</t>
  </si>
  <si>
    <t>eny_0065_lbmob2</t>
  </si>
  <si>
    <t>枢纽区、谷地通道、源石研究园、供能高地、能量淤积点·供能高地</t>
  </si>
  <si>
    <t>该敌人无特殊能力。</t>
  </si>
  <si>
    <t>草籽干粉</t>
  </si>
  <si>
    <t>莫惜命</t>
  </si>
  <si>
    <t>eny_0096_hsmob2</t>
  </si>
  <si>
    <t>清波寨、能量淤积点·清波寨</t>
  </si>
  <si>
    <t>新笋</t>
  </si>
  <si>
    <t>残暴原生钳兽</t>
  </si>
  <si>
    <t>eny_0099_slimeml2</t>
  </si>
  <si>
    <t>枢纽区、源石研究园、供能高地、能量淤积点·枢纽区</t>
  </si>
  <si>
    <t>通常成群结队出现，小心它们锋利的前肢。</t>
  </si>
  <si>
    <t>虫肉</t>
  </si>
  <si>
    <t>焚雾源石虫</t>
  </si>
  <si>
    <t>eny_0108_slbomb2</t>
  </si>
  <si>
    <t>景玉谷、武陵城、能量淤积点·试验园区</t>
  </si>
  <si>
    <t>在生命值较低时会自爆。自爆会在被命中干员身上留下不稳定化合物，干员再次受到伤害时，这些化合物会爆炸。</t>
  </si>
  <si>
    <t>精锐伏击射手</t>
  </si>
  <si>
    <t>eny_0066_lbhunt2</t>
  </si>
  <si>
    <t>枢纽区、源石研究园、供能高地、能量淤积点·供能高地</t>
  </si>
  <si>
    <t>酸液源石虫·α</t>
  </si>
  <si>
    <t>eny_0100_slimerg2</t>
  </si>
  <si>
    <t>源石研究园、能量淤积点·枢纽区、能量淤积点·雪松林</t>
  </si>
  <si>
    <t>胆小的它们会缩进壳中保护自己，向四周无脑发射身上的源石来吓走敌人。</t>
  </si>
  <si>
    <t>雾火爪牙</t>
  </si>
  <si>
    <t>eny_0060_lbmad</t>
  </si>
  <si>
    <t>谷地通道、源石研究园、能量淤积点·源石研究园</t>
  </si>
  <si>
    <t>若躲开它的连续撕咬，它就会摔倒在地上。</t>
  </si>
  <si>
    <t>刺鼻干肉</t>
  </si>
  <si>
    <t>精锐撕裂牙兽</t>
  </si>
  <si>
    <t>eny_0067_hound2</t>
  </si>
  <si>
    <t>枢纽区、源石研究园、供能高地、藏剑谷、能量淤积点·源石研究园</t>
  </si>
  <si>
    <t>灵活敏捷，持续接近攻击被盯上的目标。</t>
  </si>
  <si>
    <t>兽肉</t>
  </si>
  <si>
    <t>大角天使α</t>
  </si>
  <si>
    <t>eny_0063_agmelee2</t>
  </si>
  <si>
    <t>阿伯莉采石场、能量淤积点·矿脉源区</t>
  </si>
  <si>
    <t>坚硬异香石</t>
  </si>
  <si>
    <t>晶锥天使δ</t>
  </si>
  <si>
    <t>eny_0106_wgthorns2</t>
  </si>
  <si>
    <t>发射的子弹命中时会对干员施加寒冷附着。</t>
  </si>
  <si>
    <t>天然气泡水</t>
  </si>
  <si>
    <t>钉刺天使α</t>
  </si>
  <si>
    <t>eny_0064_agrange2</t>
  </si>
  <si>
    <t>阿伯莉采石场、矿脉源区、能量淤积点·矿脉源区</t>
  </si>
  <si>
    <t>高能异香石</t>
  </si>
  <si>
    <t>碾骨劫掠者</t>
  </si>
  <si>
    <t>eny_0029_lbmob</t>
  </si>
  <si>
    <t>枢纽区、谷地通道、源石研究园、矿脉源区、能量淤积点·源石研究园</t>
  </si>
  <si>
    <t>莫留财</t>
  </si>
  <si>
    <t>eny_0053_hsmob</t>
  </si>
  <si>
    <t>武陵城、清波寨、藏剑谷、能量淤积点·清波寨、能量淤积点·藏剑谷</t>
  </si>
  <si>
    <t>雾火牙兽</t>
  </si>
  <si>
    <t>eny_0059_erhound</t>
  </si>
  <si>
    <t>源石研究园、能量淤积点·源石研究园、能量淤积点·供能高地</t>
  </si>
  <si>
    <t>比起普通牙兽更加凶猛但理智更低，若躲开它的全力扑击，它就会摔倒在地上。</t>
  </si>
  <si>
    <t>浊流天使</t>
  </si>
  <si>
    <t>eny_0087_wgslime</t>
  </si>
  <si>
    <t>景玉谷、武陵城、首墩、应龙关、能量淤积点·武陵城</t>
  </si>
  <si>
    <t>火雾源石虫</t>
  </si>
  <si>
    <t>eny_0092_slbomb</t>
  </si>
  <si>
    <t>景玉谷、武陵城、试验园区、能量淤积点·试验园区</t>
  </si>
  <si>
    <t>碾骨伏击射手</t>
  </si>
  <si>
    <t>eny_0033_lbhunt</t>
  </si>
  <si>
    <t>枢纽区、谷地通道、源石研究园、矿脉源区、供能高地、能量淤积点·源石研究园</t>
  </si>
  <si>
    <t>穿林箭</t>
  </si>
  <si>
    <t>eny_0084_hshunt</t>
  </si>
  <si>
    <t>会发射各种箭矢和投掷炸弹进行远程牵制攻击</t>
  </si>
  <si>
    <t>仿生翅天使α</t>
  </si>
  <si>
    <t>能量淤积点·矿脉源区</t>
  </si>
  <si>
    <t>施放的小型旋风会同时减速干员。</t>
  </si>
  <si>
    <t>中空异香石</t>
  </si>
  <si>
    <t>原生钳兽</t>
  </si>
  <si>
    <t>eny_0072_slimeml</t>
  </si>
  <si>
    <t>枢纽区、源石研究园、矿脉源区、供能高地、雪松林、能量淤积点·枢纽区</t>
  </si>
  <si>
    <t>碾骨先锋</t>
  </si>
  <si>
    <t>eny_0074_lbshield</t>
  </si>
  <si>
    <t>源石研究园、能量淤积点·供能高地</t>
  </si>
  <si>
    <t>除非他正在发动进攻，否则他会格挡所有来袭的攻击。使他失衡即可击碎他的盾牌。</t>
  </si>
  <si>
    <t>苦涩麦粉</t>
  </si>
  <si>
    <t>碾骨渗透者</t>
  </si>
  <si>
    <t>eny_0049_rogue</t>
  </si>
  <si>
    <t>供能高地、能量淤积点·供能高地</t>
  </si>
  <si>
    <t>非常灵活，会闪避来自干员的普通攻击。但在攻击时就无法闪避了。 / 会扔出飞镖，并对被飞镖击中的干员进行追击。如果能躲开飞镖，也许是反击的好机会。</t>
  </si>
  <si>
    <t>虫体树傀</t>
  </si>
  <si>
    <t>eny_0129_slwood</t>
  </si>
  <si>
    <t>雪松林、能量淤积点·雪松林</t>
  </si>
  <si>
    <t>虫体树傀会潜入地下接近敌人。</t>
  </si>
  <si>
    <t>虫角嫩枝</t>
  </si>
  <si>
    <t>过堂风</t>
  </si>
  <si>
    <t>eny_0103_hshunt2</t>
  </si>
  <si>
    <t>藏剑谷、能量淤积点·清波寨</t>
  </si>
  <si>
    <t>晶锥天使</t>
  </si>
  <si>
    <t>eny_0088_wgthorns</t>
  </si>
  <si>
    <t>景玉谷、武陵城、首墩、应龙关、能量淤积点·武陵城、能量淤积点·首墩</t>
  </si>
  <si>
    <t>碾骨撕裂牙兽</t>
  </si>
  <si>
    <t>eny_0050_hound</t>
  </si>
  <si>
    <t>枢纽区、谷地通道、源石研究园、矿脉源区、供能高地、能量淤积点·源石研究园、能量淤积点·供能高地</t>
  </si>
  <si>
    <t>灵活敏捷，但受到连续攻击时几乎不能做出任何反应。</t>
  </si>
  <si>
    <t>蚀影应龙前锋</t>
  </si>
  <si>
    <t>eny_0121_klbud</t>
  </si>
  <si>
    <t>北部禁区、能量淤积点·应龙关、能量淤积点·北部禁区</t>
  </si>
  <si>
    <t>挥出的剑气命中蚀影能量会将其激活。</t>
  </si>
  <si>
    <t>残影露滴</t>
  </si>
  <si>
    <t>酸液源石虫</t>
  </si>
  <si>
    <t>eny_0073_slimerg</t>
  </si>
  <si>
    <t>枢纽区、源石研究园、矿脉源区、供能高地、雪松林、能量淤积点·枢纽区、能量淤积点·雪松林</t>
  </si>
  <si>
    <t>大角天使</t>
  </si>
  <si>
    <t>eny_0021_agmelee</t>
  </si>
  <si>
    <t>山犼兽</t>
  </si>
  <si>
    <t>eny_0112_jzmonk</t>
  </si>
  <si>
    <t>藏剑谷、能量淤积点·藏剑谷</t>
  </si>
  <si>
    <t>习惯成群结队出没，干员和山犼兽踩到扔出的香蕉皮都会滑倒。</t>
  </si>
  <si>
    <t>百年陈皮</t>
  </si>
  <si>
    <t>蚀影应龙尖兵</t>
  </si>
  <si>
    <t>eny_0122_kltdbud</t>
  </si>
  <si>
    <t>电磁=0.65(无对应档位)</t>
  </si>
  <si>
    <t>钉刺天使</t>
  </si>
  <si>
    <t>eny_0025_agrange</t>
  </si>
  <si>
    <t>蚀影牙兽</t>
  </si>
  <si>
    <t>eny_0117_klhound</t>
  </si>
  <si>
    <t>部分攻击命中蚀影能量会将其激活。</t>
  </si>
  <si>
    <t>影兽衔石</t>
  </si>
  <si>
    <t>仿生翅天使</t>
  </si>
  <si>
    <t>eny_0076_agfly</t>
  </si>
  <si>
    <t>矿脉源区、能量淤积点·矿脉源区</t>
  </si>
  <si>
    <t>棱镜天使</t>
  </si>
  <si>
    <t>eny_0089_wgreflec</t>
  </si>
  <si>
    <t>会大幅强化周围的同伴，使它们的能力提升。</t>
  </si>
  <si>
    <t>水灯虫</t>
  </si>
  <si>
    <t>eny_0094_hsfly</t>
  </si>
  <si>
    <t>从头部喷出积蓄的酸液，命中干员后会减少防御力，虽然看起来威胁不足但仍需小心。</t>
  </si>
  <si>
    <t>水灯虫的灯坠</t>
  </si>
  <si>
    <t>表象</t>
  </si>
  <si>
    <t>首墩、能量淤积点·首墩</t>
  </si>
  <si>
    <t>拥有强大的复活能力，复活后攻击范围更大，且能通过自爆造成高额伤害。</t>
  </si>
  <si>
    <t>回响尘埃</t>
  </si>
  <si>
    <t>野生牙兽</t>
  </si>
  <si>
    <t>eny_0057_dog</t>
  </si>
  <si>
    <t>枢纽区、谷地通道、供能高地</t>
  </si>
  <si>
    <t>温顺的生物，较为胆小，不会主动攻击干员。</t>
  </si>
  <si>
    <t>待补录</t>
  </si>
  <si>
    <t>充能球刺兽</t>
  </si>
  <si>
    <t>eny_0109_hshog2</t>
  </si>
  <si>
    <t>进阶敌人</t>
  </si>
  <si>
    <t>能量淤积点·试验园区</t>
  </si>
  <si>
    <t>会蓄力鼓起肚皮，喷出体内的高热量熔岩，在蓄力时打断可对其累积大量失衡值。 / 愤怒状态：愤怒状态下攻击力提升，蓄力频率更高。失衡后结束愤怒状态。</t>
  </si>
  <si>
    <t>球刺兽的肝脏</t>
  </si>
  <si>
    <t>刚角天使α</t>
  </si>
  <si>
    <t>eny_0069_aghornb2</t>
  </si>
  <si>
    <t>重刺天使α</t>
  </si>
  <si>
    <t>eny_0070_agscorp2</t>
  </si>
  <si>
    <t>会在干员脚下伸出源石柱进行攻击。 / 当它被靠近时，会在自身周围召唤石柱保护自己。</t>
  </si>
  <si>
    <t>蚀影球刺兽</t>
  </si>
  <si>
    <t>eny_0118_klhog</t>
  </si>
  <si>
    <t>北部禁区、能量淤积点·应龙关</t>
  </si>
  <si>
    <t>蚀影球刺兽会在短暂蓄力后降下多道雷电并且激活大范围内的蚀影能量，注意打断。</t>
  </si>
  <si>
    <t>刚角天使</t>
  </si>
  <si>
    <t>eny_0023_aghornb</t>
  </si>
  <si>
    <t>阿伯莉采石场、矿脉源区</t>
  </si>
  <si>
    <t>球刺兽</t>
  </si>
  <si>
    <t>eny_0093_hshog</t>
  </si>
  <si>
    <t>愤怒状态：愤怒状态下攻击力提升，蓄力频率更高。失衡后结束愤怒状态。</t>
  </si>
  <si>
    <t>碾骨清道夫</t>
  </si>
  <si>
    <t>eny_0047_firebat</t>
  </si>
  <si>
    <t>源石研究园、供能高地、能量淤积点·源石研究园</t>
  </si>
  <si>
    <t>会持续朝着干员喷射火焰，尽量绕到背后来避免被波及。</t>
  </si>
  <si>
    <t>异色油脂</t>
  </si>
  <si>
    <t>割云翁</t>
  </si>
  <si>
    <t>eny_0085_hsrogue</t>
  </si>
  <si>
    <t>物理=0.6(无对应档位)</t>
  </si>
  <si>
    <t>清波寨、能量淤积点·清波寨、能量淤积点·藏剑谷</t>
  </si>
  <si>
    <t>会使用钩锁攻击友方干员，如果不脱困将被持续眩晕。</t>
  </si>
  <si>
    <t>竹林虫蛹</t>
  </si>
  <si>
    <t>劫云客</t>
  </si>
  <si>
    <t>eny_0055_hscrane</t>
  </si>
  <si>
    <t>可以喷出干扰视线的烟雾。在烟雾内，干员的视野会缩减，移动速度下降且无法进行闪避。 / 自身的战斗能力相对薄弱，可以考虑优先针对。 / 绿色的烟雾可以为其他敌人提供治疗。</t>
  </si>
  <si>
    <t>碾骨焰术师</t>
  </si>
  <si>
    <t>eny_0046_lbshamman</t>
  </si>
  <si>
    <t>拥有强大的远程攻击手段，能够造成灼热伤害，但移动能力较差。 / 会使地面喷出雾火造成灼热伤害，注意躲避。 / 被靠近时会瞬间移动到远处。</t>
  </si>
  <si>
    <t>软骨碎屑</t>
  </si>
  <si>
    <t>重刺天使</t>
  </si>
  <si>
    <t>eny_0027_agscorp</t>
  </si>
  <si>
    <t>潜地虬兽</t>
  </si>
  <si>
    <t>eny_0007_mimicw</t>
  </si>
  <si>
    <t>自然=0.7(无对应档位)</t>
  </si>
  <si>
    <t>枢纽区、谷地通道、阿伯莉采石场、源石研究园、矿脉源区、武陵城、雪松林、能量淤积点·枢纽区、能量淤积点·雪松林</t>
  </si>
  <si>
    <t>小心它喷出的毒液，陷入其中会持续受到自然伤害。</t>
  </si>
  <si>
    <t>虬兽的须</t>
  </si>
  <si>
    <t>怒目彪兽</t>
  </si>
  <si>
    <t>eny_0102_hstiger2</t>
  </si>
  <si>
    <t>精英敌人</t>
  </si>
  <si>
    <t>武陵城</t>
  </si>
  <si>
    <t>相比普通彪兽，在生命值较低时会短暂隐匿并蓄力，及时打断可以使它脱离隐匿，并对其累积大量失衡值。 / 愤怒状态：愤怒状态下攻击力提升，蓄力频率更高。失衡后结束愤怒状态。</t>
  </si>
  <si>
    <t>彪兽的长绒</t>
  </si>
  <si>
    <t>潮行天使δ</t>
  </si>
  <si>
    <t>eny_0107_wgshoal2</t>
  </si>
  <si>
    <t>景玉谷、武陵城、首墩、应龙关、能量淤积点·首墩</t>
  </si>
  <si>
    <t>会使用带寒冷附着的能力进行攻击，在攻击命中时冻结干员。</t>
  </si>
  <si>
    <t>甜腻黑水</t>
  </si>
  <si>
    <t>雾火斧甲兽</t>
  </si>
  <si>
    <t>eny_0098_sandb2</t>
  </si>
  <si>
    <t>枢纽区、供能高地</t>
  </si>
  <si>
    <t>愤怒的斧甲兽会把一切闯入领地的敌人用巨角驱赶出去，一定要小心它的冲撞。 / 会进行各种大范围的攻击，在它愤怒时及时打断。</t>
  </si>
  <si>
    <t>大斧角</t>
  </si>
  <si>
    <t>开天将</t>
  </si>
  <si>
    <t>eny_0097_hsmino2</t>
  </si>
  <si>
    <t>清波寨、藏剑谷</t>
  </si>
  <si>
    <t>会抡重炮进行近战攻击，也会发射烟花进行远程攻击。被牛角顶起的话，可能会看到巨大的烟花！ / 从他的后面进攻的话，要小心他用蹄子踹你！</t>
  </si>
  <si>
    <t>清波竹铃</t>
  </si>
  <si>
    <t>精锐行刑人</t>
  </si>
  <si>
    <t>eny_0068_lbtough2</t>
  </si>
  <si>
    <t>源石研究园</t>
  </si>
  <si>
    <t>他的抓取会造成大量伤害，若有干员被他抓住，可尽快用其他干员施放技能打断来解救。 / 他的蓄力二连抡斧不易闪避，尽快打断来应对。</t>
  </si>
  <si>
    <t>崩碎斧刃</t>
  </si>
  <si>
    <t>斧甲兽</t>
  </si>
  <si>
    <t>eny_0071_sandb</t>
  </si>
  <si>
    <t>枢纽区、能量淤积点·枢纽区</t>
  </si>
  <si>
    <t>潮行天使</t>
  </si>
  <si>
    <t>eny_0091_wgshoal</t>
  </si>
  <si>
    <t>首墩、能量淤积点·武陵城</t>
  </si>
  <si>
    <t>碾骨射手</t>
  </si>
  <si>
    <t>能量淤积点·供能高地</t>
  </si>
  <si>
    <t>会发射箭雨，造成持续伤害并在延迟数秒后产生爆炸。 / 虽然端着巨大的弩，但其近战能力亦不容小觑。</t>
  </si>
  <si>
    <t>浸雾大弩</t>
  </si>
  <si>
    <t>碾骨破城者</t>
  </si>
  <si>
    <t>eny_0075_lbroshan</t>
  </si>
  <si>
    <t>进攻连绵不绝。即使截断他的攻势，他也仍有可能再次发动攻击。 / 会在地面布撒臂甲上的爆反装甲碎片，如果不慎踩到需要立刻离开。 / 会尝试回收地面上的装甲碎片重整旗鼓，若成功回收会发动强大的攻击。</t>
  </si>
  <si>
    <t>破城者拳甲</t>
  </si>
  <si>
    <t>肖像天使</t>
  </si>
  <si>
    <t>eny_0058_agdisk</t>
  </si>
  <si>
    <t>拥有多种强力的砸击手段，但施放中转向较慢，是很好的绕后进攻时机。 / 使用身体组合成各种形态，在战场中穿梭位移。 / 会尝试禁锢干员！迅速打断是不错的应对方案。</t>
  </si>
  <si>
    <t>导能肖像石</t>
  </si>
  <si>
    <t>蚀影应龙破阵手</t>
  </si>
  <si>
    <t>eny_0123_klcap_avoidcombat</t>
  </si>
  <si>
    <t>北部禁区、能量淤积点·北部禁区</t>
  </si>
  <si>
    <t>蚀影应龙破阵手会示敌以弱，小心回马枪！ / 身形消散后将在干员身边连续闪现发动攻击。注意躲避。</t>
  </si>
  <si>
    <t>破阵刀碎片</t>
  </si>
  <si>
    <t>蚀影应龙队长</t>
  </si>
  <si>
    <t>eny_0124_kltdcap</t>
  </si>
  <si>
    <t>能量淤积点·北部禁区</t>
  </si>
  <si>
    <t>身形消散后将在干员身边连续闪现发动攻击。注意躲避。 / 蚀影应龙队长会利用武器引动雷电，落雷命中蚀影能量会将其激活。</t>
  </si>
  <si>
    <t>蚀影彪兽</t>
  </si>
  <si>
    <t>eny_0119_kltiger</t>
  </si>
  <si>
    <t>能量淤积点·应龙关</t>
  </si>
  <si>
    <t>会使用头上的角引雷进行远程攻击，还会抛出延迟引爆的雷电球，注意离开爆炸范围。 / 生命值较低时会怒吼并引动雷电连续攻击，随后进入愤怒状态，失衡后结束愤怒，小心应对。</t>
  </si>
  <si>
    <t>披甲裂兽</t>
  </si>
  <si>
    <t>eny_0113_jzogre</t>
  </si>
  <si>
    <t>背上的山犼兽可投掷香蕉皮，披甲裂兽若贸然发起冲锋攻击，不慎踩到香蕉皮便会打滑摔倒。 / 蜷身防御时手部是它唯一的弱点，打破手臂会让它退出蜷缩防御并倒地。 / 倒地时山犼兽会掉落，攻击山犼兽会造成更高的伤害。</t>
  </si>
  <si>
    <t>尾尖金甲</t>
  </si>
  <si>
    <t>摧山将</t>
  </si>
  <si>
    <t>eny_0054_hsmino</t>
  </si>
  <si>
    <t>清波寨、藏剑谷、能量淤积点·清波寨</t>
  </si>
  <si>
    <t>断云叟</t>
  </si>
  <si>
    <t>eny_0104_hsrogue2</t>
  </si>
  <si>
    <t>物理=0.4(无对应档位)</t>
  </si>
  <si>
    <t>清波寨</t>
  </si>
  <si>
    <t>百眼彪兽</t>
  </si>
  <si>
    <t>eny_0083_hstiger</t>
  </si>
  <si>
    <t>武陵城、清波寨、试验园区、能量淤积点·试验园区</t>
  </si>
  <si>
    <t>身形灵活，利用爪子和尾巴进行攻击，注意躲避 / 愤怒状态：愤怒状态下攻击力提升，蓄力频率更高。失衡后结束愤怒状态。</t>
  </si>
  <si>
    <t>碾骨行刑人</t>
  </si>
  <si>
    <t>eny_0018_lbtough</t>
  </si>
  <si>
    <t>枢纽区、谷地通道、矿脉源区、能量淤积点·供能高地</t>
  </si>
  <si>
    <t>徘徊树傀</t>
  </si>
  <si>
    <t>eny_0128_babyents</t>
  </si>
  <si>
    <t>徘徊树傀不处于护盾覆盖状态时，会束缚干员吸取能量以恢复层叠护盾。 / 徘徊树傀会互相配合进行攻击。</t>
  </si>
  <si>
    <t>柔嫩苔藓</t>
  </si>
  <si>
    <t>岗哨天使</t>
  </si>
  <si>
    <t>分布于特定协议空间</t>
  </si>
  <si>
    <t>拥有超远射程且威力巨大，努力躲避它的炮火才能继续前进。</t>
  </si>
  <si>
    <t>幽林之怒</t>
  </si>
  <si>
    <t>领袖敌人</t>
  </si>
  <si>
    <t>雪松林</t>
  </si>
  <si>
    <t>幽林之怒会在地面留下藤蔓，干员踏入其中会持续受到伤害并减速。 / 幽林之怒会召唤徘徊树傀协助战斗。</t>
  </si>
  <si>
    <t>巨山犼兽</t>
  </si>
  <si>
    <t>藏剑谷</t>
  </si>
  <si>
    <t>巨山犼兽进入狂怒后，会震落遗迹残垣，在场内随机落下石块造成伤害。 / 巨山犼兽能够灵活的使用遗迹残柱，攻击范围极大。 / 巨山犼兽会佯装后退，趁敌人不备丢出巨石攻击。</t>
  </si>
  <si>
    <t>天鼓</t>
  </si>
  <si>
    <t>生命值较低时，会受到刺激进入愤怒状态，蓄力攻击频率更高，造成更高伤害并降低受到的伤害，需要及时打断以结束愤怒状态。</t>
  </si>
  <si>
    <t>咆兽的辫束</t>
  </si>
  <si>
    <t>蚀影噪雷</t>
  </si>
  <si>
    <t>北部禁区</t>
  </si>
  <si>
    <t>蚀影噪雷激活的蚀影能量会引发落雷。 / 会召唤蚀影牙兽，随后引发多道落雷轰击蚀影牙兽将其转化为蚀影能量并激活。注意躲避。</t>
  </si>
  <si>
    <t>破潮之像</t>
  </si>
  <si>
    <t>能量淤积点·首墩</t>
  </si>
  <si>
    <t>拥有远程和近战两种状态。 / 近战状态：靠近目标进行近身缠斗。 / 远程状态：保持距离战斗并使用更强的能力进行攻击。 / 远程状态下受到更多灼热伤害，但受到其他类型的伤害显著减少。</t>
  </si>
  <si>
    <t>速成陈酿</t>
  </si>
  <si>
    <t>跂步晶城</t>
  </si>
  <si>
    <t>跂步晶城拥有通常和架盾两种形态。 / 通常状态：拥有把远处干员拉拽到面前的能力。 / 架盾状态：正面和侧面会反弹攻击，同时暴露背后的弱点。</t>
  </si>
  <si>
    <t>天然晶城锭</t>
  </si>
  <si>
    <t>阿莱克琉斯，千夫长</t>
  </si>
  <si>
    <t>头目敌人</t>
  </si>
  <si>
    <t>阿莱克琉斯，千夫长触发失衡节点后会掉落造裔武器，主控干员靠近并拾取后可利用造裔武器发动攻击。 / 战况焦灼时，阿莱克琉斯，千夫长将从裂隙中召唤分身协同发动进攻。</t>
  </si>
  <si>
    <t>“碾骨之拳”罗丹</t>
  </si>
  <si>
    <t>eny_0051_rodin</t>
  </si>
  <si>
    <t>谷地通道</t>
  </si>
  <si>
    <t>重型敌人，利用身上的通风管将敌人牵引至自己周围并进行攻击。 / 可以从巢雕获得能量，并提升自身的能力。小心他喷射出的火焰。</t>
  </si>
  <si>
    <t>阮一</t>
  </si>
  <si>
    <t>阮一能够弹开所有的攻击。需要利用息壤破除他的防护，才能对他造成有效伤害。 / 生命值较低时会进入激怒状态，利用息壤能够破除该状态并使其陷入长时间的虚弱。 / 阮一处于激怒状态时，会召唤主控干员靠近时爆炸的怒火孽根。 / 战场中会聚集息壤能量协助战斗，关键时刻触碰息壤能量可将其激活压制阮一。</t>
  </si>
  <si>
    <t>聂菲斯，“征服者”</t>
  </si>
  <si>
    <t>平时被超域护盾保护，受到的伤害大幅度降低，需要打断蓄力才能暂时破除护盾。 / 有撕裂时空，让干员无法行动的能力，此类技能需要优先打断。 / 会用锚点困住友方干员，需要攻击锚点解救干员。</t>
  </si>
  <si>
    <t>聂菲斯，“碾骨”</t>
  </si>
  <si>
    <t>会斩出无法靠闪避来躲避的超域能量波。需要利用庄方宜的息壤支援，跃至空中躲避。 / 会跃至高空进行蓄力攻击。需要在利用息壤跳起后，使用下落攻击召唤闪电打断。</t>
  </si>
  <si>
    <t>白垩界卫</t>
  </si>
  <si>
    <t>eny_0061_palecore</t>
  </si>
  <si>
    <t>供能高地</t>
  </si>
  <si>
    <t>只有击杀全部的白垩附肢，沉眠状态下的白垩界卫才会暂时露出可被攻击的核心部位。</t>
  </si>
  <si>
    <t>三位一体</t>
  </si>
  <si>
    <t>eny_0045_agtrinit</t>
  </si>
  <si>
    <t>矿脉源区</t>
  </si>
  <si>
    <t>拥有三种不同的形态。 / 强攻形态：会不断发动凌厉的近战攻击。如果能及时打断它的蓄力，可以对其累积大量失衡值。 / 搜查形态：会召唤大量天使助战，并发动锚点冲击波。 / 诡计形态：会隐藏身形，从远处倾泻弹幕、进行伏击。打破其隐形的话，可以对其累积大量失衡值。</t>
  </si>
  <si>
    <t>埃尔埃格尼斯</t>
  </si>
  <si>
    <t>白垩附肢</t>
  </si>
  <si>
    <t>有的白垩附肢擅长攻击近距离的敌人，它们会疯狂锤击地面。 / 有的白垩附肢擅长攻击远距离的敌人，它们把自己的末端碎裂为侵蚀，抛射向敌人。</t>
  </si>
  <si>
    <t>读法：单元格数值 = 该敌人对该元素的「承伤系数」，越小越抗。1.0 = 无抗性，0.8 = 20 点抗性（C 档），0.5 = 50 点抗性（B 档）。K 列非空表示出现了任何字母档位都表达不了的中间值——这正是「档位抗性具有迷惑性」的实证。</t>
  </si>
  <si>
    <t>05 敌方数值与失衡 —— 86 名敌人等级面板 + 失衡/抗打断/韧性全参数</t>
  </si>
  <si>
    <t>Lv1HP</t>
  </si>
  <si>
    <t>Lv20HP</t>
  </si>
  <si>
    <t>Lv40HP</t>
  </si>
  <si>
    <t>Lv60HP</t>
  </si>
  <si>
    <t>Lv80HP</t>
  </si>
  <si>
    <t>Lv100HP</t>
  </si>
  <si>
    <t>Lv1ATK</t>
  </si>
  <si>
    <t>Lv100ATK</t>
  </si>
  <si>
    <t>HP成长倍数</t>
  </si>
  <si>
    <t>ATK成长倍数</t>
  </si>
  <si>
    <t>失衡值上限</t>
  </si>
  <si>
    <t>失衡恢复时间(s)</t>
  </si>
  <si>
    <t>处决倍率</t>
  </si>
  <si>
    <t>处决技力回复</t>
  </si>
  <si>
    <t>初始抗打断</t>
  </si>
  <si>
    <t>失衡时抗打断</t>
  </si>
  <si>
    <t>韧性归零抗打断</t>
  </si>
  <si>
    <t>最大韧性</t>
  </si>
  <si>
    <t>受伤韧性降低</t>
  </si>
  <si>
    <t>韧性回复值</t>
  </si>
  <si>
    <t>韧性回复间隔(s)</t>
  </si>
  <si>
    <t>韧性完全回复时长(s)</t>
  </si>
  <si>
    <t>重量</t>
  </si>
  <si>
    <t>普攻距离</t>
  </si>
  <si>
    <t>攻击频率</t>
  </si>
  <si>
    <t>敌暴击率</t>
  </si>
  <si>
    <t>敌暴击伤害</t>
  </si>
  <si>
    <t>对塔攻击值</t>
  </si>
  <si>
    <t>击退系数</t>
  </si>
  <si>
    <t>06 通用等级成长曲线 —— 85 名敌人共用，个体强度差异只体现在 Lv1 基数</t>
  </si>
  <si>
    <t>等级</t>
  </si>
  <si>
    <t>HP系数(Lv100=1)</t>
  </si>
  <si>
    <t>ATK系数(Lv100=1)</t>
  </si>
  <si>
    <t>HP每级增长率</t>
  </si>
  <si>
    <t>ATK每级增长率</t>
  </si>
  <si>
    <t>验证方法：把每个敌人的各等级值除以自身 Lv100 值，取 85 名敌人的中位数，得到本曲线；再用「Lv1 基数 × 本曲线」重建全部 100 档，中位最大相对误差 0.42%，90 分位 1.36%。</t>
  </si>
  <si>
    <t>设计意图：曲线增长率整体单调下降（HP 从 Lv1-5 的约 14%/级降到 Lv95-100 的约 1.5%/级；ATK 从约 13%/级降到约 1.05%/级），段内近似线性下降、段边界跳变，是典型的关键帧表驱动而非单一幂律。这与技能体系的「先定满级总收益 ×2.25，再反向分配投放节奏」是同一套设计思路：先锚定终点，再编排过程。</t>
  </si>
  <si>
    <t>07 异常状态与法术反应 —— 异常等级 = 触发时消耗的破防/法术附着层数（最高 4）</t>
  </si>
  <si>
    <t>类别</t>
  </si>
  <si>
    <t>异常等级1</t>
  </si>
  <si>
    <t>异常等级2</t>
  </si>
  <si>
    <t>异常等级3</t>
  </si>
  <si>
    <t>异常等级4</t>
  </si>
  <si>
    <t>持续时间</t>
  </si>
  <si>
    <t>法术异常</t>
  </si>
  <si>
    <t>导电（电磁附着触发）</t>
  </si>
  <si>
    <t>法术伤害+12%</t>
  </si>
  <si>
    <t>法术伤害+16%</t>
  </si>
  <si>
    <t>法术伤害+20%</t>
  </si>
  <si>
    <t>法术伤害+24%</t>
  </si>
  <si>
    <t>12 秒</t>
  </si>
  <si>
    <t>消耗全部法术附着层数；造成电磁伤害</t>
  </si>
  <si>
    <t>腐蚀（自然附着触发）</t>
  </si>
  <si>
    <t>初始降抗3.6/秒0.84/上限12</t>
  </si>
  <si>
    <t>初始降抗4.8/秒1.12/上限16</t>
  </si>
  <si>
    <t>初始降抗6/秒1.4/上限20</t>
  </si>
  <si>
    <t>初始降抗7.2/秒1.68/上限24</t>
  </si>
  <si>
    <t>15 秒</t>
  </si>
  <si>
    <t>降全属性抗性；刷新时维持已降抗性</t>
  </si>
  <si>
    <t>燃烧（灼热附着触发）</t>
  </si>
  <si>
    <t>每秒12%+12%</t>
  </si>
  <si>
    <t>每秒12%+24%</t>
  </si>
  <si>
    <t>每秒12%+36%</t>
  </si>
  <si>
    <t>每秒12%+48%</t>
  </si>
  <si>
    <t>10 秒</t>
  </si>
  <si>
    <t>造成灼热伤害并持续扣血</t>
  </si>
  <si>
    <t>冻结（寒冷附着触发）</t>
  </si>
  <si>
    <t>6 秒</t>
  </si>
  <si>
    <t>7 秒</t>
  </si>
  <si>
    <t>8 秒</t>
  </si>
  <si>
    <t>9 秒</t>
  </si>
  <si>
    <t>按等级</t>
  </si>
  <si>
    <t>造成寒冷伤害；弱小敌人无法行动</t>
  </si>
  <si>
    <t>物理异常</t>
  </si>
  <si>
    <t>碎冰</t>
  </si>
  <si>
    <t>120%+120%</t>
  </si>
  <si>
    <t>120%+240%</t>
  </si>
  <si>
    <t>120%+360%</t>
  </si>
  <si>
    <t>120%+480%</t>
  </si>
  <si>
    <t>对冻结目标施加破防或物理异常时触发</t>
  </si>
  <si>
    <t>异常反应基础倍率</t>
  </si>
  <si>
    <t>基础倍率</t>
  </si>
  <si>
    <t>是否层数相关</t>
  </si>
  <si>
    <t>满层倍率</t>
  </si>
  <si>
    <t>击飞 / 倒地</t>
  </si>
  <si>
    <t>120%</t>
  </si>
  <si>
    <t>否</t>
  </si>
  <si>
    <t>与层数无关</t>
  </si>
  <si>
    <t>碎击 Crush</t>
  </si>
  <si>
    <t>150%</t>
  </si>
  <si>
    <t>+150%/Vulnerable层</t>
  </si>
  <si>
    <t>150%+150%×n</t>
  </si>
  <si>
    <t>破防 Breach</t>
  </si>
  <si>
    <t>50%</t>
  </si>
  <si>
    <t>+50%/Vulnerable层</t>
  </si>
  <si>
    <t>50%+50%×n</t>
  </si>
  <si>
    <t>法术爆发</t>
  </si>
  <si>
    <t>160%</t>
  </si>
  <si>
    <t>否（与附着层数无关）</t>
  </si>
  <si>
    <t>法术</t>
  </si>
  <si>
    <t>80%</t>
  </si>
  <si>
    <t>+80%/附着层</t>
  </si>
  <si>
    <t>80%×5（4层）</t>
  </si>
  <si>
    <t>NGA 回复另一种表述：与层数相关的倍率统一 ×(1+异常等级)，最高 5 倍</t>
  </si>
  <si>
    <t>燃烧 DOT（每秒）</t>
  </si>
  <si>
    <t>12%</t>
  </si>
  <si>
    <t>+12%/异常等级</t>
  </si>
  <si>
    <t>12%×5（4级）</t>
  </si>
  <si>
    <t>持续 10 秒</t>
  </si>
  <si>
    <t>+120%/异常等级</t>
  </si>
  <si>
    <t>120%×5（4级）</t>
  </si>
  <si>
    <t>冻结</t>
  </si>
  <si>
    <t>130%</t>
  </si>
  <si>
    <t>仅见于 NGA 楼层回复，主帖未单列；wiki.gg 的「Lift and Knock Down」为 120%，需实机校准</t>
  </si>
  <si>
    <t>存疑说明：NGA 楼层回复给出另一套表述——「与层数有关的倍率全部 ×(1+异常等级)，最高 5 倍」，并把 [冻结] 单列为 130%。主帖与 wiki.gg 未列冻结 130%，wiki.gg 的 Lift/Knock Down 为 120%。两说并存，待实机校准。</t>
  </si>
  <si>
    <t>另一处存疑：NGA 称棱镜天使/浊流天使δ/晶锥天使δ/潮行天使δ 的「寒冷」承伤系数为 0.65；fz.wiki 实测这几个敌人的寒冷均为 0.8，真正取 0.65 的是蚀影系列的「电磁」。疑为元素标错或版本变动。</t>
  </si>
  <si>
    <t>08 干员最终面板汇总 —— Lv90 满级，四维→攻击力全链路 + 双抗 + 暴击区期望</t>
  </si>
  <si>
    <t>星级</t>
  </si>
  <si>
    <t>职业</t>
  </si>
  <si>
    <t>伤害类型</t>
  </si>
  <si>
    <t>武器类型</t>
  </si>
  <si>
    <t>毕业武器</t>
  </si>
  <si>
    <t>主能力</t>
  </si>
  <si>
    <t>副能力</t>
  </si>
  <si>
    <t>力量</t>
  </si>
  <si>
    <t>敏捷</t>
  </si>
  <si>
    <t>智识</t>
  </si>
  <si>
    <t>意志</t>
  </si>
  <si>
    <t>武器力量加成</t>
  </si>
  <si>
    <t>武器敏捷加成</t>
  </si>
  <si>
    <t>武器智识加成</t>
  </si>
  <si>
    <t>武器意志加成</t>
  </si>
  <si>
    <t>武器主能力加成</t>
  </si>
  <si>
    <t>武器副能力加成</t>
  </si>
  <si>
    <t>力量终值</t>
  </si>
  <si>
    <t>敏捷终值</t>
  </si>
  <si>
    <t>智识终值</t>
  </si>
  <si>
    <t>意志终值</t>
  </si>
  <si>
    <t>主能力终值</t>
  </si>
  <si>
    <t>副能力终值</t>
  </si>
  <si>
    <t>干员基础生命值</t>
  </si>
  <si>
    <t>装备防御力(待填)</t>
  </si>
  <si>
    <t>最终防御力</t>
  </si>
  <si>
    <t>受击防御区</t>
  </si>
  <si>
    <t>物理抗性</t>
  </si>
  <si>
    <t>法术抗性</t>
  </si>
  <si>
    <t>抗性区(物理)</t>
  </si>
  <si>
    <t>抗性区(法术)</t>
  </si>
  <si>
    <t>武器暴击率</t>
  </si>
  <si>
    <t>暴击率合计</t>
  </si>
  <si>
    <t>暴击伤害合计</t>
  </si>
  <si>
    <t>暴击区期望</t>
  </si>
  <si>
    <t>毕业配装</t>
  </si>
  <si>
    <t>管理员</t>
  </si>
  <si>
    <t>近卫</t>
  </si>
  <si>
    <t>单手剑</t>
  </si>
  <si>
    <t>宏愿</t>
  </si>
  <si>
    <t>点剑（3件）+ 轻超域护手（散件）</t>
  </si>
  <si>
    <t>陈千语</t>
  </si>
  <si>
    <t>扶摇</t>
  </si>
  <si>
    <t>点剑（3件）+ 应龙重甲</t>
  </si>
  <si>
    <t>骏卫</t>
  </si>
  <si>
    <t>先锋</t>
  </si>
  <si>
    <t>不知归</t>
  </si>
  <si>
    <t>点剑（3件）+ 动火用手套（散件）</t>
  </si>
  <si>
    <t>黎风</t>
  </si>
  <si>
    <t>长柄武器</t>
  </si>
  <si>
    <t>负山</t>
  </si>
  <si>
    <t>点剑（3件）+ 点剑战术手甲</t>
  </si>
  <si>
    <t>余烬</t>
  </si>
  <si>
    <t>重装</t>
  </si>
  <si>
    <t>双手剑</t>
  </si>
  <si>
    <t>大雷斑</t>
  </si>
  <si>
    <t>生物辅助（3件）+ 接驳器（配件）</t>
  </si>
  <si>
    <t>大潘</t>
  </si>
  <si>
    <t>突击</t>
  </si>
  <si>
    <t>典范（主选）</t>
  </si>
  <si>
    <t>50式应龙（3件）+ 点剑战术手套</t>
  </si>
  <si>
    <t>莱万汀</t>
  </si>
  <si>
    <t>熔铸火焰</t>
  </si>
  <si>
    <t>动火用（3件）+ 生物辅助护板（散件）</t>
  </si>
  <si>
    <t>狼卫</t>
  </si>
  <si>
    <t>术师</t>
  </si>
  <si>
    <t>手铳</t>
  </si>
  <si>
    <t>同類相食</t>
  </si>
  <si>
    <t>动火用（3件）+ 生物臂甲（散件）</t>
  </si>
  <si>
    <t>秋栗</t>
  </si>
  <si>
    <t>热熔切割器（主选）</t>
  </si>
  <si>
    <t>长息护手 + 纾难印章×2（充能向）</t>
  </si>
  <si>
    <t>伊冯</t>
  </si>
  <si>
    <t>艺术暴君</t>
  </si>
  <si>
    <t>M.I.警用（3件）+ 警用工具组×2</t>
  </si>
  <si>
    <t>别礼</t>
  </si>
  <si>
    <t>赫拉芬格</t>
  </si>
  <si>
    <t>潮涌（3件）+ 悬河供氧栓×2</t>
  </si>
  <si>
    <t>洁尔佩塔</t>
  </si>
  <si>
    <t>辅助</t>
  </si>
  <si>
    <t>施术单元</t>
  </si>
  <si>
    <t>使命必达</t>
  </si>
  <si>
    <t>长息（3件）</t>
  </si>
  <si>
    <t>艾尔黛拉</t>
  </si>
  <si>
    <t>沧溟星梦</t>
  </si>
  <si>
    <t>长息（3件）/ 生物辅助（生存向）</t>
  </si>
  <si>
    <t>庄方宜</t>
  </si>
  <si>
    <t>孤舟</t>
  </si>
  <si>
    <t>壤流（3件）+ 生物辅助护板（散件）</t>
  </si>
  <si>
    <t>佩丽卡</t>
  </si>
  <si>
    <t>遗忘（输出流）</t>
  </si>
  <si>
    <t>脉冲式（3件）+ 轻超域护手（散件）</t>
  </si>
  <si>
    <t>弧光</t>
  </si>
  <si>
    <t>拓荒（3件）+ 长息护手</t>
  </si>
  <si>
    <t>阿列什</t>
  </si>
  <si>
    <t>拓荒护甲叁 + 长息护手 + 增量供氧栓×2</t>
  </si>
  <si>
    <t>艾维文娜</t>
  </si>
  <si>
    <t>J.E.T.（主选）</t>
  </si>
  <si>
    <t>碾骨（3件）+ 轻超域护手（散件）</t>
  </si>
  <si>
    <t>昼雪</t>
  </si>
  <si>
    <t>昔日精品（主选）</t>
  </si>
  <si>
    <t>生物辅助（3件）</t>
  </si>
  <si>
    <t>赛希</t>
  </si>
  <si>
    <t>骑士精神（主选）</t>
  </si>
  <si>
    <t>纾难护甲 + 长息护手 + 长息蓄电核×2</t>
  </si>
  <si>
    <t>安塔尔</t>
  </si>
  <si>
    <t>爆破单元（主选）</t>
  </si>
  <si>
    <t>埃特拉</t>
  </si>
  <si>
    <t>J.E.T.</t>
  </si>
  <si>
    <t>长息（3件）/ 应龙（3件）</t>
  </si>
  <si>
    <t>卡契尔</t>
  </si>
  <si>
    <t>典范</t>
  </si>
  <si>
    <t>长息装甲 + 生物臂甲 + 长息蓄电核×2</t>
  </si>
  <si>
    <t>萤石</t>
  </si>
  <si>
    <t>领航者（下位）</t>
  </si>
  <si>
    <t>碾骨重装甲 + 长息护手 + 纾难印章×2</t>
  </si>
  <si>
    <t>汤汤</t>
  </si>
  <si>
    <t>落草 / 望乡</t>
  </si>
  <si>
    <t>碾骨（3件）/ 清波（3件）</t>
  </si>
  <si>
    <t>洛茜</t>
  </si>
  <si>
    <t>狼之绯 / 光荣记忆</t>
  </si>
  <si>
    <t>M.I.警用（3件）/ 纾难护手（下限向）</t>
  </si>
  <si>
    <t>弭弗</t>
  </si>
  <si>
    <t>赤缨 / 幻想苦痛</t>
  </si>
  <si>
    <t>旧锋（3件）+ 点剑定位信标（散件）</t>
  </si>
  <si>
    <t>用法：浅蓝格为「待填输入」——攻击力%加成、固定攻击力、装备防御力、额外暴击率/暴击伤害取决于你实际穿的装备与基质，本表给不出确定值，故留空不编造。填入后黄色公式格自动算出最终攻击力、双抗、受击防御区、暴击区期望。</t>
  </si>
  <si>
    <t>口径说明：① 四维取 Lv90 面板整数部分（能力值加成只吃整数部分）；② 武器对四维的加成全部保留（O~R 列），不会因为是「非主/副能力」的维度就丢弃——例如热熔切割器给的是意志+156，对主能力为敏捷的干员不影响能力值加成，但会照实记录；③ 双抗取四维终值而非面板值；④ 最终攻击力未向下取整，面板显示值会比它略小；⑤ 能力值加成量级待实机核对，详见 03 表末尾的提示。</t>
  </si>
  <si>
    <t>09 枚举字典 —— 全表可枚举字段的取值域</t>
  </si>
  <si>
    <t>取值域</t>
  </si>
  <si>
    <t>说明</t>
  </si>
  <si>
    <t>数据状态</t>
  </si>
  <si>
    <t>实测 | 待补录 | 存疑</t>
  </si>
  <si>
    <t>三色语义：绿 / 黄 / 红</t>
  </si>
  <si>
    <t>敌方等阶</t>
  </si>
  <si>
    <t>普通敌人 | 进阶敌人 | 精英敌人 | 领袖敌人 | 头目敌人</t>
  </si>
  <si>
    <t>决定处决承伤系数 1 / 1.25 / 1.5 / 1.5 / 1.75 与处决技力回复 25 / 35 / 50 / 50 / 100。注意：NGA 等公开攻略多为 4 档命名，把领袖与头目合并，会给出错误的 1.75 归属</t>
  </si>
  <si>
    <t>元素属性</t>
  </si>
  <si>
    <t>物理 | 灼热 | 电磁 | 寒冷 | 自然 | 超域</t>
  </si>
  <si>
    <t>超域为第六类，承伤系数默认 1.0</t>
  </si>
  <si>
    <t>抗性字母档位</t>
  </si>
  <si>
    <t>D | C | B</t>
  </si>
  <si>
    <t>对应承伤系数 1.0 / 0.8 / 0.5；实测存在档位外的中间值</t>
  </si>
  <si>
    <t>物理 | 法术 | 超域</t>
  </si>
  <si>
    <t>法术再分为灼热/电磁/寒冷/自然四系</t>
  </si>
  <si>
    <t>技能类型</t>
  </si>
  <si>
    <t>普通攻击 | 战技 | 连携技 | 终结技</t>
  </si>
  <si>
    <t>「全技能伤害提升」不含普通攻击</t>
  </si>
  <si>
    <t>增输出 | 降输出 | 增挨打 | 降挨打 | 己方 | 双向</t>
  </si>
  <si>
    <t>乘区的语义分类</t>
  </si>
  <si>
    <t>加算 | 乘算(非线性) | 取最大值(不叠加) | 先加后乘</t>
  </si>
  <si>
    <t>庇护区取最大值，虚弱区乘算</t>
  </si>
  <si>
    <t>0 | 0.01 | 0.1 | 0.2 | 0.3 | 0.4 | 0.5 | 0.7 | 1</t>
  </si>
  <si>
    <t>1 = 主控干员，不减伤</t>
  </si>
  <si>
    <t>异常等级</t>
  </si>
  <si>
    <t>1 | 2 | 3 | 4</t>
  </si>
  <si>
    <t>等于触发时消耗的破防/法术附着层数</t>
  </si>
  <si>
    <t>干员职业</t>
  </si>
  <si>
    <t>近卫 | 先锋 | 术师 | 突击 | 辅助 | 重装</t>
  </si>
  <si>
    <t>来自本站已入库的干员档案</t>
  </si>
  <si>
    <t>单手剑 | 双手剑 | 长柄武器 | 手铳 | 法器</t>
  </si>
  <si>
    <t>决定可装备的武器与专武</t>
  </si>
  <si>
    <t>四维能力</t>
  </si>
  <si>
    <t>力量 | 敏捷 | 智识 | 意志</t>
  </si>
  <si>
    <t>敏捷→物理抗性，智识→法术抗性</t>
  </si>
  <si>
    <t>10 干员失衡值 —— 改蓝色输入格，看频率建模后的失衡产出</t>
  </si>
  <si>
    <t>【输入区】蓝色格可改（三项均为待实测参数，当前是假设值）</t>
  </si>
  <si>
    <t>R 全队技力产出速率</t>
  </si>
  <si>
    <t>点/秒</t>
  </si>
  <si>
    <t>★最大不确定项。需实测三个通用回复源：自然缓回 / 重击回技力 / 闪避红圈回技力</t>
  </si>
  <si>
    <t>普攻段频率</t>
  </si>
  <si>
    <t>次/秒</t>
  </si>
  <si>
    <t>玩家侧待实测；敌人侧实测为 1</t>
  </si>
  <si>
    <t>终结技平均周期</t>
  </si>
  <si>
    <t>粗估。实测终结技能量需求 70/80/90/100/120/220/240/300 高度分散</t>
  </si>
  <si>
    <t>主控时间占比·均摊</t>
  </si>
  <si>
    <t>4 人队每人平均占场 1/4；「专精主控」列固定按 1.0 算</t>
  </si>
  <si>
    <t>【读表必看】三个会让数值失真的陷阱</t>
  </si>
  <si>
    <t>① 字段求和 ≠ 有效失衡值：4 名干员存在互斥分支或条件触发，直接求和会高估。已在「战技失衡·有效」等列取修正值，依据见「修正说明与备注」。</t>
  </si>
  <si>
    <t>② 普攻段数是逐干员变量（3 / 4 / 5 段），普攻只有末段（重击）带失衡 → 重击频率 = 普攻段频率 ÷ 段数。昼雪是全场唯一 3 段，重击频率比 5 段干员高 67%。</t>
  </si>
  <si>
    <t>③ 技力是全队共享的 3 段池（300 点）→ 4 人不能各自按 R/100 施放战技。若按人头 R/100 会凭空多 3 倍预算。</t>
  </si>
  <si>
    <t>【技力口径】K/L 两列按「独占」计（该干员独享全部技力，战技 R/100），用于横向比较单人产能；11 表的队伍 P 按「均摊」计（4 人分，战技 R/400）。两列不可直接相加。</t>
  </si>
  <si>
    <t>「失衡/秒」= 战技×R/100 + 连携技÷连携CD + 终结技÷终结技周期 + 普攻重击×重击频率×主控占比。连携/终结/重击不消耗技力。</t>
  </si>
  <si>
    <t>待补录行的「失衡/秒」只含普攻重击部分，8 名 1.4+ 干员的 12 档技能失衡值全网无公开源，不猜值。</t>
  </si>
  <si>
    <t>战技失衡·有效</t>
  </si>
  <si>
    <t>连携技失衡·有效</t>
  </si>
  <si>
    <t>终结技失衡</t>
  </si>
  <si>
    <t>普攻重击失衡</t>
  </si>
  <si>
    <t>普攻段数</t>
  </si>
  <si>
    <t>连携CD(秒)</t>
  </si>
  <si>
    <t>失衡/技力效率</t>
  </si>
  <si>
    <t>重击频率(次/秒)</t>
  </si>
  <si>
    <t>失衡/秒·均摊</t>
  </si>
  <si>
    <t>失衡/秒·专精主控</t>
  </si>
  <si>
    <t>战技占比</t>
  </si>
  <si>
    <t>修正说明与备注</t>
  </si>
  <si>
    <t>战技 ：失衡值10；【受击后额外造成】10 为条件触发</t>
  </si>
  <si>
    <t>连携技标题为「战技失衡值」，疑为 buff 非自身失衡（存疑）</t>
  </si>
  <si>
    <t>终结技 阶梯 15→20（专精1起）</t>
  </si>
  <si>
    <t>终结技 阶梯 7→10（专精1起）</t>
  </si>
  <si>
    <t>终结技 阶梯 2→3（专精1起）</t>
  </si>
  <si>
    <t>战技 ：失衡值5+雷枪5；【强雷枪】10 与雷枪5 互斥；终结技 阶梯 15→20（专精1起）</t>
  </si>
  <si>
    <t>战技 ：初始爆炸10+追加10；另3个字段仅【终结技期间】生效</t>
  </si>
  <si>
    <t>连携技 ：第一段3+第二段3+第三段4；【强化第三段】9 与第三段4 互斥</t>
  </si>
  <si>
    <t>卡缪</t>
  </si>
  <si>
    <t>12 档技能失衡值待补录（biligame 无数据页）；本行「失衡/秒」只含普攻重击部分。</t>
  </si>
  <si>
    <t>提弗洛斯</t>
  </si>
  <si>
    <t>梨诺</t>
  </si>
  <si>
    <t>诀</t>
  </si>
  <si>
    <t>11 失衡与敌人输出窗口 —— 失衡能砍掉敌人多少输出时间</t>
  </si>
  <si>
    <t>【队伍预设】改 F 列成员名即可重算（须是 10_干员失衡值 里存在的干员）</t>
  </si>
  <si>
    <t>队伍</t>
  </si>
  <si>
    <t>成员1</t>
  </si>
  <si>
    <t>成员2</t>
  </si>
  <si>
    <t>成员3</t>
  </si>
  <si>
    <t>成员4</t>
  </si>
  <si>
    <t>失衡产出 P(点/秒)</t>
  </si>
  <si>
    <t>口径</t>
  </si>
  <si>
    <t>纯失衡队（效率优先）</t>
  </si>
  <si>
    <t>均摊</t>
  </si>
  <si>
    <t>战技失衡效率最高的 4 人组合</t>
  </si>
  <si>
    <t>主控型队（昼雪主控）</t>
  </si>
  <si>
    <t>昼雪站场，其余后台</t>
  </si>
  <si>
    <t>增幅辅助队</t>
  </si>
  <si>
    <t>赛希+安塔尔提供属性增幅，牺牲失衡</t>
  </si>
  <si>
    <t>无失衡队（对照）</t>
  </si>
  <si>
    <t>对照组：几乎不堆失衡</t>
  </si>
  <si>
    <t>【敌人输出窗口 ω_e】= 敌人不在失衡状态的时间占比（越低越好）</t>
  </si>
  <si>
    <t>失衡占比 = 失衡恢复时长 ÷ (失衡上限 ÷ 队伍P + 失衡恢复时长)；ω_e = 1 − 失衡占比</t>
  </si>
  <si>
    <t>敌人失衡上限 / 恢复时长 来自 fz.wiki 86 样本实测（见 05_敌方数值与失衡）</t>
  </si>
  <si>
    <t>★ 结论：R=40 时纯失衡队相对无失衡队只削减 16%~29%，失衡的定位是「削峰」不是「控制」</t>
  </si>
  <si>
    <t>敌人等阶</t>
  </si>
  <si>
    <t>失衡上限</t>
  </si>
  <si>
    <t>失衡恢复(秒)</t>
  </si>
  <si>
    <t>普通</t>
  </si>
  <si>
    <t>进阶</t>
  </si>
  <si>
    <t>精英</t>
  </si>
  <si>
    <t>领袖</t>
  </si>
  <si>
    <t>头目</t>
  </si>
  <si>
    <t>【R 敏感性】纯失衡队 / 无失衡队 的 ω_e（均摊口径，脚本实跑值）</t>
  </si>
  <si>
    <t>R(点/秒)</t>
  </si>
  <si>
    <t>每秒段数</t>
  </si>
  <si>
    <t>纯失衡队·普通</t>
  </si>
  <si>
    <t>纯失衡队·精英</t>
  </si>
  <si>
    <t>无失衡队·精英</t>
  </si>
  <si>
    <t>判读</t>
  </si>
  <si>
    <t>技力极紧，失衡基本失效</t>
  </si>
  <si>
    <t>当前假设档</t>
  </si>
  <si>
    <t>每秒回满一整段，已偏乐观</t>
  </si>
  <si>
    <t>不现实；即便如此精英也只压到 0.42</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</si>
</sst>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
    <numFmt numFmtId="178" formatCode="0.0"/>
    <numFmt numFmtId="179" formatCode="#,##0.0"/>
    <numFmt numFmtId="180" formatCode="0.####"/>
  </numFmts>
  <fonts count="25">
    <font>
      <sz val="11"/>
      <color theme="1"/>
      <name val="宋体"/>
      <charset val="134"/>
      <scheme val="minor"/>
    </font>
    <font>
      <b/>
      <sz val="13"/>
      <color rgb="FFFFFFFF"/>
      <name val="微软雅黑"/>
      <charset val="134"/>
    </font>
    <font>
      <b/>
      <sz val="10"/>
      <color rgb="FFFFFFFF"/>
      <name val="微软雅黑"/>
      <charset val="134"/>
    </font>
    <font>
      <sz val="10"/>
      <name val="微软雅黑"/>
      <charset val="134"/>
    </font>
    <font>
      <sz val="9"/>
      <color rgb="FF595959"/>
      <name val="微软雅黑"/>
      <charset val="134"/>
    </font>
    <font>
      <b/>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F3864"/>
        <bgColor indexed="64"/>
      </patternFill>
    </fill>
    <fill>
      <patternFill patternType="solid">
        <fgColor rgb="FF2F5597"/>
        <bgColor indexed="64"/>
      </patternFill>
    </fill>
    <fill>
      <patternFill patternType="solid">
        <fgColor rgb="FF4472C4"/>
        <bgColor indexed="64"/>
      </patternFill>
    </fill>
    <fill>
      <patternFill patternType="solid">
        <fgColor rgb="FFDEEBF7"/>
        <bgColor indexed="64"/>
      </patternFill>
    </fill>
    <fill>
      <patternFill patternType="solid">
        <fgColor rgb="FFFFF2CC"/>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8"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9" borderId="7" applyNumberFormat="0" applyAlignment="0" applyProtection="0">
      <alignment vertical="center"/>
    </xf>
    <xf numFmtId="0" fontId="15" fillId="10" borderId="8" applyNumberFormat="0" applyAlignment="0" applyProtection="0">
      <alignment vertical="center"/>
    </xf>
    <xf numFmtId="0" fontId="16" fillId="10" borderId="7" applyNumberFormat="0" applyAlignment="0" applyProtection="0">
      <alignment vertical="center"/>
    </xf>
    <xf numFmtId="0" fontId="17" fillId="11"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34">
    <xf numFmtId="0" fontId="0" fillId="0" borderId="0" xfId="0"/>
    <xf numFmtId="0" fontId="1" fillId="2" borderId="0" xfId="0" applyFont="1" applyFill="1" applyAlignment="1">
      <alignment horizontal="center" vertical="center"/>
    </xf>
    <xf numFmtId="0" fontId="2" fillId="3" borderId="0" xfId="0" applyFont="1" applyFill="1"/>
    <xf numFmtId="0" fontId="2" fillId="4" borderId="1" xfId="0" applyFont="1" applyFill="1" applyBorder="1" applyAlignment="1">
      <alignment horizontal="center" vertical="center" wrapText="1"/>
    </xf>
    <xf numFmtId="0" fontId="3" fillId="0" borderId="1" xfId="0" applyFont="1" applyBorder="1" applyAlignment="1">
      <alignment horizontal="left" vertical="center"/>
    </xf>
    <xf numFmtId="0" fontId="3" fillId="5" borderId="1" xfId="0" applyFont="1" applyFill="1" applyBorder="1" applyAlignment="1">
      <alignment horizontal="center" vertical="center"/>
    </xf>
    <xf numFmtId="2" fontId="3" fillId="6" borderId="1" xfId="0" applyNumberFormat="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3" fillId="0" borderId="1" xfId="0" applyFont="1" applyBorder="1" applyAlignment="1">
      <alignment horizontal="center" vertical="center"/>
    </xf>
    <xf numFmtId="176" fontId="3" fillId="6"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0" fontId="2" fillId="7" borderId="1" xfId="0" applyFont="1" applyFill="1" applyBorder="1" applyAlignment="1">
      <alignment horizontal="left" vertical="top" wrapText="1"/>
    </xf>
    <xf numFmtId="0" fontId="0" fillId="0" borderId="2" xfId="0" applyBorder="1"/>
    <xf numFmtId="0" fontId="0" fillId="0" borderId="3" xfId="0" applyBorder="1"/>
    <xf numFmtId="0" fontId="3" fillId="0" borderId="1" xfId="0" applyFont="1" applyBorder="1" applyAlignment="1">
      <alignment horizontal="left" vertical="top" wrapText="1"/>
    </xf>
    <xf numFmtId="0" fontId="3" fillId="0" borderId="0" xfId="0" applyFont="1"/>
    <xf numFmtId="0" fontId="4" fillId="0" borderId="0" xfId="0" applyFont="1"/>
    <xf numFmtId="0" fontId="3" fillId="6" borderId="1" xfId="0" applyFont="1" applyFill="1" applyBorder="1" applyAlignment="1">
      <alignment horizontal="center" vertical="center"/>
    </xf>
    <xf numFmtId="9" fontId="3" fillId="6" borderId="1" xfId="0" applyNumberFormat="1" applyFont="1" applyFill="1" applyBorder="1" applyAlignment="1">
      <alignment horizontal="center" vertical="center"/>
    </xf>
    <xf numFmtId="1" fontId="3" fillId="6" borderId="1" xfId="0" applyNumberFormat="1" applyFont="1" applyFill="1" applyBorder="1" applyAlignment="1">
      <alignment horizontal="center" vertical="center"/>
    </xf>
    <xf numFmtId="177" fontId="3" fillId="6" borderId="1" xfId="0" applyNumberFormat="1" applyFont="1" applyFill="1" applyBorder="1" applyAlignment="1">
      <alignment horizontal="center" vertical="center"/>
    </xf>
    <xf numFmtId="178" fontId="3" fillId="6" borderId="1" xfId="0" applyNumberFormat="1" applyFont="1" applyFill="1" applyBorder="1" applyAlignment="1">
      <alignment horizontal="center" vertical="center"/>
    </xf>
    <xf numFmtId="10" fontId="3" fillId="6" borderId="1" xfId="0" applyNumberFormat="1" applyFont="1" applyFill="1" applyBorder="1" applyAlignment="1">
      <alignment horizontal="center" vertical="center"/>
    </xf>
    <xf numFmtId="0" fontId="3" fillId="0" borderId="1" xfId="0" applyFont="1" applyBorder="1" applyAlignment="1">
      <alignment horizontal="right" vertical="center"/>
    </xf>
    <xf numFmtId="10" fontId="3" fillId="0" borderId="1" xfId="0" applyNumberFormat="1" applyFont="1" applyBorder="1" applyAlignment="1">
      <alignment horizontal="center" vertical="center"/>
    </xf>
    <xf numFmtId="179" fontId="3" fillId="6" borderId="1" xfId="0" applyNumberFormat="1" applyFont="1" applyFill="1" applyBorder="1" applyAlignment="1">
      <alignment horizontal="center" vertical="center"/>
    </xf>
    <xf numFmtId="180" fontId="3" fillId="6" borderId="1" xfId="0" applyNumberFormat="1" applyFont="1" applyFill="1" applyBorder="1" applyAlignment="1">
      <alignment horizontal="center" vertical="center"/>
    </xf>
    <xf numFmtId="0" fontId="5" fillId="0" borderId="0" xfId="0" applyFont="1"/>
    <xf numFmtId="179" fontId="5" fillId="6" borderId="1" xfId="0" applyNumberFormat="1" applyFont="1" applyFill="1" applyBorder="1" applyAlignment="1">
      <alignment horizontal="center" vertical="center"/>
    </xf>
    <xf numFmtId="0" fontId="5" fillId="7" borderId="0" xfId="0" applyFont="1" applyFill="1"/>
    <xf numFmtId="0" fontId="5" fillId="0" borderId="0" xfId="0" applyFont="1" applyFill="1"/>
    <xf numFmtId="0" fontId="0" fillId="0"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name val="微软雅黑"/>
        <scheme val="none"/>
        <sz val="10"/>
        <color rgb="FF006100"/>
      </font>
      <fill>
        <patternFill patternType="solid">
          <fgColor rgb="FFC6EFCE"/>
        </patternFill>
      </fill>
    </dxf>
    <dxf>
      <font>
        <name val="微软雅黑"/>
        <scheme val="none"/>
        <sz val="10"/>
        <color rgb="FF9C6500"/>
      </font>
      <fill>
        <patternFill patternType="solid">
          <fgColor rgb="FFFFEB9C"/>
        </patternFill>
      </fill>
    </dxf>
    <dxf>
      <font>
        <name val="微软雅黑"/>
        <scheme val="none"/>
        <sz val="10"/>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4"/>
  <sheetViews>
    <sheetView workbookViewId="0">
      <selection activeCell="I14" sqref="I14"/>
    </sheetView>
  </sheetViews>
  <sheetFormatPr defaultColWidth="9" defaultRowHeight="13.5" outlineLevelCol="7"/>
  <cols>
    <col min="1" max="1" width="22" customWidth="1"/>
    <col min="2" max="8" width="15" customWidth="1"/>
  </cols>
  <sheetData>
    <row r="1" ht="26" customHeight="1" spans="1:1">
      <c r="A1" s="1" t="s">
        <v>0</v>
      </c>
    </row>
    <row r="3" ht="16.5" spans="1:1">
      <c r="A3" s="31" t="s">
        <v>1</v>
      </c>
    </row>
    <row r="4" ht="16.5" spans="1:1">
      <c r="A4" s="17" t="s">
        <v>2</v>
      </c>
    </row>
    <row r="5" ht="16.5" spans="1:1">
      <c r="A5" s="17" t="s">
        <v>3</v>
      </c>
    </row>
    <row r="6" ht="16.5" spans="1:1">
      <c r="A6" s="31" t="s">
        <v>4</v>
      </c>
    </row>
    <row r="7" ht="16.5" spans="1:1">
      <c r="A7" s="17" t="s">
        <v>5</v>
      </c>
    </row>
    <row r="8" ht="16.5" spans="1:1">
      <c r="A8" s="17" t="s">
        <v>6</v>
      </c>
    </row>
    <row r="9" ht="16.5" spans="1:1">
      <c r="A9" s="17" t="s">
        <v>7</v>
      </c>
    </row>
    <row r="10" ht="16.5" spans="1:1">
      <c r="A10" s="17" t="s">
        <v>8</v>
      </c>
    </row>
    <row r="11" ht="16.5" spans="1:1">
      <c r="A11" s="17" t="s">
        <v>9</v>
      </c>
    </row>
    <row r="12" ht="16.5" spans="1:1">
      <c r="A12" s="17" t="s">
        <v>10</v>
      </c>
    </row>
    <row r="13" ht="16.5" spans="1:1">
      <c r="A13" s="17" t="s">
        <v>11</v>
      </c>
    </row>
    <row r="14" ht="16.5" spans="1:1">
      <c r="A14" s="17" t="s">
        <v>12</v>
      </c>
    </row>
    <row r="15" ht="16.5" spans="1:1">
      <c r="A15" s="17" t="s">
        <v>13</v>
      </c>
    </row>
    <row r="16" ht="16.5" spans="1:1">
      <c r="A16" s="17" t="s">
        <v>14</v>
      </c>
    </row>
    <row r="17" ht="16.5" spans="1:8">
      <c r="A17" s="17" t="s">
        <v>15</v>
      </c>
    </row>
    <row r="18" ht="16.5" spans="1:8">
      <c r="A18" s="17" t="s">
        <v>3</v>
      </c>
    </row>
    <row r="19" ht="16.5" spans="1:8">
      <c r="A19" s="31" t="s">
        <v>16</v>
      </c>
    </row>
    <row r="20" ht="16.5" spans="1:8">
      <c r="A20" s="17" t="s">
        <v>17</v>
      </c>
    </row>
    <row r="21" ht="16.5" spans="1:8">
      <c r="A21" s="17" t="s">
        <v>18</v>
      </c>
    </row>
    <row r="22" ht="16.5" spans="1:8">
      <c r="A22" s="17" t="s">
        <v>19</v>
      </c>
    </row>
    <row r="23" ht="16.5" spans="1:8">
      <c r="A23" s="17" t="s">
        <v>20</v>
      </c>
    </row>
    <row r="24" ht="16.5" spans="1:8">
      <c r="A24" s="17" t="s">
        <v>3</v>
      </c>
    </row>
    <row r="25" ht="16.5" spans="1:8">
      <c r="A25" s="17" t="s">
        <v>21</v>
      </c>
    </row>
    <row r="26" ht="16.5" spans="1:8">
      <c r="A26" s="17" t="s">
        <v>3</v>
      </c>
    </row>
    <row r="27" ht="16.5" spans="1:8">
      <c r="A27" s="31" t="s">
        <v>22</v>
      </c>
    </row>
    <row r="28" ht="16.5" spans="1:8">
      <c r="A28" s="17" t="s">
        <v>23</v>
      </c>
    </row>
    <row r="29" ht="16.5" spans="1:8">
      <c r="A29" s="17" t="s">
        <v>24</v>
      </c>
    </row>
    <row r="30" ht="16.5" spans="1:8">
      <c r="A30" s="17" t="s">
        <v>3</v>
      </c>
    </row>
    <row r="31" ht="16.5" spans="1:8">
      <c r="A31" s="32"/>
      <c r="B31" s="33"/>
      <c r="C31" s="33"/>
      <c r="D31" s="33"/>
      <c r="E31" s="33"/>
      <c r="F31" s="33"/>
      <c r="G31" s="33"/>
      <c r="H31" s="33"/>
    </row>
    <row r="32" ht="16.5" spans="1:8">
      <c r="A32" s="17"/>
    </row>
    <row r="33" ht="16.5" spans="1:8">
      <c r="A33" s="17"/>
    </row>
    <row r="34" ht="16.5" spans="1:8">
      <c r="A34" s="17"/>
    </row>
    <row r="35" ht="16.5" spans="1:8">
      <c r="A35" s="17"/>
    </row>
    <row r="36" ht="16.5" spans="1:8">
      <c r="A36" s="17"/>
    </row>
    <row r="37" ht="16.5" spans="1:8">
      <c r="A37" s="17"/>
    </row>
    <row r="38" ht="16.5" spans="1:8">
      <c r="A38" s="17"/>
    </row>
    <row r="39" ht="16.5" spans="1:8">
      <c r="A39" s="17"/>
    </row>
    <row r="40" ht="16.5" spans="1:8">
      <c r="A40" s="17"/>
    </row>
    <row r="41" ht="16.5" spans="1:8">
      <c r="A41" s="17"/>
    </row>
    <row r="42" ht="16.5" spans="1:8">
      <c r="A42" s="17"/>
    </row>
    <row r="43" ht="16.5" spans="1:8">
      <c r="A43" s="17"/>
    </row>
    <row r="44" ht="16.5" spans="1:8">
      <c r="A44" s="17"/>
    </row>
    <row r="45" ht="16.5" spans="1:8">
      <c r="A45" s="17"/>
    </row>
    <row r="46" ht="16.5" spans="1:8">
      <c r="A46" s="32"/>
      <c r="B46" s="33"/>
      <c r="C46" s="33"/>
      <c r="D46" s="33"/>
      <c r="E46" s="33"/>
      <c r="F46" s="33"/>
      <c r="G46" s="33"/>
      <c r="H46" s="33"/>
    </row>
    <row r="47" ht="16.5" spans="1:8">
      <c r="A47" s="17"/>
    </row>
    <row r="48" ht="16.5" spans="1:8">
      <c r="A48" s="17"/>
    </row>
    <row r="49" ht="16.5" spans="1:1">
      <c r="A49" s="17"/>
    </row>
    <row r="50" ht="16.5" spans="1:1">
      <c r="A50" s="17"/>
    </row>
    <row r="51" ht="16.5" spans="1:1">
      <c r="A51" s="17"/>
    </row>
    <row r="52" ht="16.5" spans="1:1">
      <c r="A52" s="17"/>
    </row>
    <row r="53" ht="16.5" spans="1:1">
      <c r="A53" s="17"/>
    </row>
    <row r="54" ht="16.5" spans="1:1">
      <c r="A54" s="17"/>
    </row>
  </sheetData>
  <mergeCells count="53">
    <mergeCell ref="A1:H1"/>
    <mergeCell ref="A3:H3"/>
    <mergeCell ref="A4:H4"/>
    <mergeCell ref="A5:H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3:H53"/>
    <mergeCell ref="A54:H5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
  <sheetViews>
    <sheetView workbookViewId="0">
      <pane ySplit="2" topLeftCell="A10" activePane="bottomLeft" state="frozen"/>
      <selection/>
      <selection pane="bottomLeft" activeCell="A1" sqref="A1:H1"/>
    </sheetView>
  </sheetViews>
  <sheetFormatPr defaultColWidth="9" defaultRowHeight="13.5" outlineLevelCol="7"/>
  <cols>
    <col min="1" max="1" width="7" customWidth="1"/>
    <col min="2" max="2" width="26" customWidth="1"/>
    <col min="3" max="3" width="16" customWidth="1"/>
    <col min="4" max="4" width="62" customWidth="1"/>
    <col min="5" max="5" width="15" customWidth="1"/>
    <col min="6" max="6" width="10" customWidth="1"/>
    <col min="7" max="7" width="9" customWidth="1"/>
    <col min="8" max="8" width="48" customWidth="1"/>
  </cols>
  <sheetData>
    <row r="1" ht="26" customHeight="1" spans="1:8">
      <c r="A1" s="1" t="s">
        <v>25</v>
      </c>
    </row>
    <row r="2" ht="30" customHeight="1" spans="1:8">
      <c r="A2" s="3" t="s">
        <v>26</v>
      </c>
      <c r="B2" s="3" t="s">
        <v>27</v>
      </c>
      <c r="C2" s="3" t="s">
        <v>28</v>
      </c>
      <c r="D2" s="3" t="s">
        <v>29</v>
      </c>
      <c r="E2" s="3" t="s">
        <v>30</v>
      </c>
      <c r="F2" s="3" t="s">
        <v>31</v>
      </c>
      <c r="G2" s="3" t="s">
        <v>32</v>
      </c>
      <c r="H2" s="3" t="s">
        <v>33</v>
      </c>
    </row>
    <row r="3" ht="16.5" spans="1:8">
      <c r="A3" s="10">
        <v>1</v>
      </c>
      <c r="B3" s="16" t="s">
        <v>34</v>
      </c>
      <c r="C3" s="10" t="s">
        <v>35</v>
      </c>
      <c r="D3" s="16" t="s">
        <v>36</v>
      </c>
      <c r="E3" s="10" t="s">
        <v>37</v>
      </c>
      <c r="F3" s="10" t="s">
        <v>38</v>
      </c>
      <c r="G3" s="10" t="s">
        <v>39</v>
      </c>
      <c r="H3" s="16" t="s">
        <v>40</v>
      </c>
    </row>
    <row r="4" ht="16.5" spans="1:8">
      <c r="A4" s="10">
        <v>1.1</v>
      </c>
      <c r="B4" s="8" t="s">
        <v>41</v>
      </c>
      <c r="C4" s="10" t="s">
        <v>42</v>
      </c>
      <c r="D4" s="8" t="s">
        <v>43</v>
      </c>
      <c r="E4" s="10" t="s">
        <v>44</v>
      </c>
      <c r="F4" s="10" t="s">
        <v>45</v>
      </c>
      <c r="G4" s="10" t="s">
        <v>39</v>
      </c>
      <c r="H4" s="16" t="s">
        <v>46</v>
      </c>
    </row>
    <row r="5" ht="16.5" spans="1:8">
      <c r="A5" s="10">
        <v>1.11</v>
      </c>
      <c r="B5" s="8" t="s">
        <v>47</v>
      </c>
      <c r="C5" s="10" t="s">
        <v>48</v>
      </c>
      <c r="D5" s="8" t="s">
        <v>49</v>
      </c>
      <c r="E5" s="10" t="s">
        <v>50</v>
      </c>
      <c r="F5" s="10" t="s">
        <v>45</v>
      </c>
      <c r="G5" s="10" t="s">
        <v>39</v>
      </c>
      <c r="H5" s="16" t="s">
        <v>51</v>
      </c>
    </row>
    <row r="6" ht="16.5" spans="1:8">
      <c r="A6" s="10">
        <v>1.2</v>
      </c>
      <c r="B6" s="8" t="s">
        <v>52</v>
      </c>
      <c r="C6" s="10" t="s">
        <v>53</v>
      </c>
      <c r="D6" s="8" t="s">
        <v>54</v>
      </c>
      <c r="E6" s="10" t="s">
        <v>55</v>
      </c>
      <c r="F6" s="10" t="s">
        <v>56</v>
      </c>
      <c r="G6" s="10" t="s">
        <v>39</v>
      </c>
      <c r="H6" s="16" t="s">
        <v>57</v>
      </c>
    </row>
    <row r="7" ht="33" spans="1:8">
      <c r="A7" s="10">
        <v>2</v>
      </c>
      <c r="B7" s="16" t="s">
        <v>58</v>
      </c>
      <c r="C7" s="10" t="s">
        <v>59</v>
      </c>
      <c r="D7" s="16" t="s">
        <v>60</v>
      </c>
      <c r="E7" s="10" t="s">
        <v>61</v>
      </c>
      <c r="F7" s="10" t="s">
        <v>38</v>
      </c>
      <c r="G7" s="10" t="s">
        <v>39</v>
      </c>
      <c r="H7" s="16" t="s">
        <v>62</v>
      </c>
    </row>
    <row r="8" ht="33" spans="1:8">
      <c r="A8" s="10">
        <v>3</v>
      </c>
      <c r="B8" s="16" t="s">
        <v>63</v>
      </c>
      <c r="C8" s="10" t="s">
        <v>64</v>
      </c>
      <c r="D8" s="16" t="s">
        <v>65</v>
      </c>
      <c r="E8" s="10" t="s">
        <v>50</v>
      </c>
      <c r="F8" s="10" t="s">
        <v>66</v>
      </c>
      <c r="G8" s="10" t="s">
        <v>39</v>
      </c>
      <c r="H8" s="16" t="s">
        <v>67</v>
      </c>
    </row>
    <row r="9" ht="16.5" spans="1:8">
      <c r="A9" s="10">
        <v>3.1</v>
      </c>
      <c r="B9" s="16" t="s">
        <v>3</v>
      </c>
      <c r="C9" s="10" t="s">
        <v>3</v>
      </c>
      <c r="D9" s="16" t="s">
        <v>68</v>
      </c>
      <c r="E9" s="10" t="s">
        <v>61</v>
      </c>
      <c r="F9" s="10" t="s">
        <v>61</v>
      </c>
      <c r="G9" s="10" t="s">
        <v>39</v>
      </c>
      <c r="H9" s="16" t="s">
        <v>69</v>
      </c>
    </row>
    <row r="10" ht="33" spans="1:8">
      <c r="A10" s="10">
        <v>4</v>
      </c>
      <c r="B10" s="16" t="s">
        <v>70</v>
      </c>
      <c r="C10" s="10" t="s">
        <v>71</v>
      </c>
      <c r="D10" s="16" t="s">
        <v>72</v>
      </c>
      <c r="E10" s="10" t="s">
        <v>73</v>
      </c>
      <c r="F10" s="10" t="s">
        <v>74</v>
      </c>
      <c r="G10" s="10" t="s">
        <v>39</v>
      </c>
      <c r="H10" s="16" t="s">
        <v>75</v>
      </c>
    </row>
    <row r="11" ht="33" spans="1:8">
      <c r="A11" s="10">
        <v>5</v>
      </c>
      <c r="B11" s="16" t="s">
        <v>76</v>
      </c>
      <c r="C11" s="10" t="s">
        <v>77</v>
      </c>
      <c r="D11" s="16" t="s">
        <v>78</v>
      </c>
      <c r="E11" s="10" t="s">
        <v>50</v>
      </c>
      <c r="F11" s="10" t="s">
        <v>79</v>
      </c>
      <c r="G11" s="10" t="s">
        <v>39</v>
      </c>
      <c r="H11" s="16" t="s">
        <v>80</v>
      </c>
    </row>
    <row r="12" ht="33" spans="1:8">
      <c r="A12" s="10">
        <v>6</v>
      </c>
      <c r="B12" s="16" t="s">
        <v>81</v>
      </c>
      <c r="C12" s="10" t="s">
        <v>82</v>
      </c>
      <c r="D12" s="16" t="s">
        <v>83</v>
      </c>
      <c r="E12" s="10" t="s">
        <v>50</v>
      </c>
      <c r="F12" s="10" t="s">
        <v>66</v>
      </c>
      <c r="G12" s="10" t="s">
        <v>39</v>
      </c>
      <c r="H12" s="16" t="s">
        <v>84</v>
      </c>
    </row>
    <row r="13" ht="16.5" spans="1:8">
      <c r="A13" s="10">
        <v>7</v>
      </c>
      <c r="B13" s="16" t="s">
        <v>85</v>
      </c>
      <c r="C13" s="10" t="s">
        <v>86</v>
      </c>
      <c r="D13" s="16" t="s">
        <v>87</v>
      </c>
      <c r="E13" s="10" t="s">
        <v>88</v>
      </c>
      <c r="F13" s="10" t="s">
        <v>74</v>
      </c>
      <c r="G13" s="10" t="s">
        <v>39</v>
      </c>
      <c r="H13" s="16" t="s">
        <v>89</v>
      </c>
    </row>
    <row r="14" ht="33" spans="1:8">
      <c r="A14" s="10">
        <v>8</v>
      </c>
      <c r="B14" s="16" t="s">
        <v>90</v>
      </c>
      <c r="C14" s="10" t="s">
        <v>91</v>
      </c>
      <c r="D14" s="16" t="s">
        <v>92</v>
      </c>
      <c r="E14" s="10" t="s">
        <v>50</v>
      </c>
      <c r="F14" s="10" t="s">
        <v>79</v>
      </c>
      <c r="G14" s="10" t="s">
        <v>39</v>
      </c>
      <c r="H14" s="16" t="s">
        <v>93</v>
      </c>
    </row>
    <row r="15" ht="33" spans="1:8">
      <c r="A15" s="10">
        <v>9</v>
      </c>
      <c r="B15" s="16" t="s">
        <v>94</v>
      </c>
      <c r="C15" s="10" t="s">
        <v>95</v>
      </c>
      <c r="D15" s="16" t="s">
        <v>96</v>
      </c>
      <c r="E15" s="10" t="s">
        <v>61</v>
      </c>
      <c r="F15" s="10" t="s">
        <v>74</v>
      </c>
      <c r="G15" s="10" t="s">
        <v>39</v>
      </c>
      <c r="H15" s="16" t="s">
        <v>97</v>
      </c>
    </row>
    <row r="16" ht="16.5" spans="1:8">
      <c r="A16" s="10">
        <v>10</v>
      </c>
      <c r="B16" s="16" t="s">
        <v>98</v>
      </c>
      <c r="C16" s="10" t="s">
        <v>99</v>
      </c>
      <c r="D16" s="16" t="s">
        <v>100</v>
      </c>
      <c r="E16" s="10" t="s">
        <v>61</v>
      </c>
      <c r="F16" s="10" t="s">
        <v>79</v>
      </c>
      <c r="G16" s="10" t="s">
        <v>39</v>
      </c>
      <c r="H16" s="16" t="s">
        <v>101</v>
      </c>
    </row>
    <row r="17" ht="33" spans="1:8">
      <c r="A17" s="10">
        <v>10.1</v>
      </c>
      <c r="B17" s="8" t="s">
        <v>102</v>
      </c>
      <c r="C17" s="10" t="s">
        <v>103</v>
      </c>
      <c r="D17" s="8" t="s">
        <v>104</v>
      </c>
      <c r="E17" s="10" t="s">
        <v>61</v>
      </c>
      <c r="F17" s="10" t="s">
        <v>79</v>
      </c>
      <c r="G17" s="10" t="s">
        <v>39</v>
      </c>
      <c r="H17" s="16" t="s">
        <v>105</v>
      </c>
    </row>
    <row r="18" ht="16.5" spans="1:8">
      <c r="A18" s="10">
        <v>11</v>
      </c>
      <c r="B18" s="16" t="s">
        <v>106</v>
      </c>
      <c r="C18" s="10" t="s">
        <v>107</v>
      </c>
      <c r="D18" s="16" t="s">
        <v>108</v>
      </c>
      <c r="E18" s="10" t="s">
        <v>61</v>
      </c>
      <c r="F18" s="10" t="s">
        <v>74</v>
      </c>
      <c r="G18" s="10" t="s">
        <v>39</v>
      </c>
      <c r="H18" s="16" t="s">
        <v>109</v>
      </c>
    </row>
    <row r="19" ht="16.5" spans="1:8">
      <c r="A19" s="10">
        <v>12</v>
      </c>
      <c r="B19" s="16" t="s">
        <v>110</v>
      </c>
      <c r="C19" s="10" t="s">
        <v>111</v>
      </c>
      <c r="D19" s="16" t="s">
        <v>112</v>
      </c>
      <c r="E19" s="10" t="s">
        <v>50</v>
      </c>
      <c r="F19" s="10" t="s">
        <v>74</v>
      </c>
      <c r="G19" s="10" t="s">
        <v>39</v>
      </c>
      <c r="H19" s="16" t="s">
        <v>113</v>
      </c>
    </row>
    <row r="20" ht="16.5" spans="1:8">
      <c r="A20" s="10">
        <v>12.1</v>
      </c>
      <c r="B20" s="8" t="s">
        <v>114</v>
      </c>
      <c r="C20" s="10" t="s">
        <v>115</v>
      </c>
      <c r="D20" s="8" t="s">
        <v>116</v>
      </c>
      <c r="E20" s="10" t="s">
        <v>61</v>
      </c>
      <c r="F20" s="10" t="s">
        <v>45</v>
      </c>
      <c r="G20" s="10" t="s">
        <v>39</v>
      </c>
      <c r="H20" s="16" t="s">
        <v>117</v>
      </c>
    </row>
    <row r="21" ht="33" spans="1:8">
      <c r="A21" s="10">
        <v>13</v>
      </c>
      <c r="B21" s="16" t="s">
        <v>118</v>
      </c>
      <c r="C21" s="10" t="s">
        <v>119</v>
      </c>
      <c r="D21" s="16" t="s">
        <v>120</v>
      </c>
      <c r="E21" s="10" t="s">
        <v>55</v>
      </c>
      <c r="F21" s="10" t="s">
        <v>66</v>
      </c>
      <c r="G21" s="10" t="s">
        <v>39</v>
      </c>
      <c r="H21" s="16" t="s">
        <v>121</v>
      </c>
    </row>
    <row r="22" ht="33" spans="1:8">
      <c r="A22" s="10">
        <v>14</v>
      </c>
      <c r="B22" s="16" t="s">
        <v>122</v>
      </c>
      <c r="C22" s="10" t="s">
        <v>123</v>
      </c>
      <c r="D22" s="16" t="s">
        <v>124</v>
      </c>
      <c r="E22" s="10" t="s">
        <v>61</v>
      </c>
      <c r="F22" s="10" t="s">
        <v>66</v>
      </c>
      <c r="G22" s="10" t="s">
        <v>39</v>
      </c>
      <c r="H22" s="16" t="s">
        <v>125</v>
      </c>
    </row>
    <row r="23" ht="33" spans="1:8">
      <c r="A23" s="10">
        <v>15</v>
      </c>
      <c r="B23" s="16" t="s">
        <v>126</v>
      </c>
      <c r="C23" s="10" t="s">
        <v>127</v>
      </c>
      <c r="D23" s="16" t="s">
        <v>128</v>
      </c>
      <c r="E23" s="10" t="s">
        <v>61</v>
      </c>
      <c r="F23" s="10" t="s">
        <v>66</v>
      </c>
      <c r="G23" s="10" t="s">
        <v>129</v>
      </c>
      <c r="H23" s="16" t="s">
        <v>130</v>
      </c>
    </row>
    <row r="25" ht="16.5" spans="1:8">
      <c r="A25" s="29" t="s">
        <v>131</v>
      </c>
    </row>
    <row r="26" ht="16.5" spans="1:8">
      <c r="A26" s="29" t="s">
        <v>132</v>
      </c>
    </row>
    <row r="28" spans="1:8">
      <c r="A28" s="9" t="s">
        <v>133</v>
      </c>
    </row>
  </sheetData>
  <autoFilter xmlns:etc="http://www.wps.cn/officeDocument/2017/etCustomData" ref="A2:H23" etc:filterBottomFollowUsedRange="0">
    <extLst/>
  </autoFilter>
  <mergeCells count="4">
    <mergeCell ref="A1:H1"/>
    <mergeCell ref="A25:H25"/>
    <mergeCell ref="A26:H26"/>
    <mergeCell ref="A28:H29"/>
  </mergeCells>
  <conditionalFormatting sqref="G3:G23">
    <cfRule type="cellIs" dxfId="0" priority="1" operator="equal">
      <formula>"实测"</formula>
    </cfRule>
    <cfRule type="cellIs" dxfId="1" priority="2" operator="equal">
      <formula>"待补录"</formula>
    </cfRule>
    <cfRule type="cellIs" dxfId="2" priority="3" operator="equal">
      <formula>"存疑"</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workbookViewId="0">
      <pane ySplit="2" topLeftCell="A5" activePane="bottomLeft" state="frozen"/>
      <selection/>
      <selection pane="bottomLeft" activeCell="E33" sqref="E33"/>
    </sheetView>
  </sheetViews>
  <sheetFormatPr defaultColWidth="9" defaultRowHeight="13.5" outlineLevelCol="6"/>
  <cols>
    <col min="1" max="1" width="30" customWidth="1"/>
    <col min="2" max="2" width="26" customWidth="1"/>
    <col min="3" max="5" width="10" customWidth="1"/>
    <col min="6" max="6" width="26" customWidth="1"/>
    <col min="7" max="7" width="56" customWidth="1"/>
  </cols>
  <sheetData>
    <row r="1" ht="26" customHeight="1" spans="1:7">
      <c r="A1" s="1" t="s">
        <v>134</v>
      </c>
    </row>
    <row r="2" ht="30" customHeight="1" spans="1:7">
      <c r="A2" s="3" t="s">
        <v>135</v>
      </c>
      <c r="B2" s="3" t="s">
        <v>136</v>
      </c>
      <c r="C2" s="3" t="s">
        <v>137</v>
      </c>
      <c r="D2" s="3" t="s">
        <v>138</v>
      </c>
      <c r="E2" s="3" t="s">
        <v>32</v>
      </c>
      <c r="F2" s="3" t="s">
        <v>139</v>
      </c>
      <c r="G2" s="3" t="s">
        <v>33</v>
      </c>
    </row>
    <row r="3" ht="16.5" spans="1:7">
      <c r="A3" s="16" t="s">
        <v>140</v>
      </c>
      <c r="B3" s="10">
        <v>0.05</v>
      </c>
      <c r="C3" s="10" t="s">
        <v>141</v>
      </c>
      <c r="D3" s="10" t="s">
        <v>142</v>
      </c>
      <c r="E3" s="10" t="s">
        <v>39</v>
      </c>
      <c r="F3" s="4" t="s">
        <v>143</v>
      </c>
      <c r="G3" s="16" t="s">
        <v>3</v>
      </c>
    </row>
    <row r="4" ht="16.5" spans="1:7">
      <c r="A4" s="16" t="s">
        <v>144</v>
      </c>
      <c r="B4" s="10">
        <v>0.5</v>
      </c>
      <c r="C4" s="10" t="s">
        <v>141</v>
      </c>
      <c r="D4" s="10" t="s">
        <v>142</v>
      </c>
      <c r="E4" s="10" t="s">
        <v>39</v>
      </c>
      <c r="F4" s="4" t="s">
        <v>143</v>
      </c>
      <c r="G4" s="16" t="s">
        <v>3</v>
      </c>
    </row>
    <row r="5" ht="16.5" spans="1:7">
      <c r="A5" s="16" t="s">
        <v>145</v>
      </c>
      <c r="B5" s="10">
        <v>0</v>
      </c>
      <c r="C5" s="10" t="s">
        <v>141</v>
      </c>
      <c r="D5" s="10" t="s">
        <v>146</v>
      </c>
      <c r="E5" s="10" t="s">
        <v>39</v>
      </c>
      <c r="F5" s="4" t="s">
        <v>143</v>
      </c>
      <c r="G5" s="16" t="s">
        <v>3</v>
      </c>
    </row>
    <row r="6" ht="16.5" spans="1:7">
      <c r="A6" s="16" t="s">
        <v>147</v>
      </c>
      <c r="B6" s="10">
        <v>0.5</v>
      </c>
      <c r="C6" s="10" t="s">
        <v>141</v>
      </c>
      <c r="D6" s="10" t="s">
        <v>146</v>
      </c>
      <c r="E6" s="10" t="s">
        <v>39</v>
      </c>
      <c r="F6" s="4" t="s">
        <v>143</v>
      </c>
      <c r="G6" s="16" t="s">
        <v>3</v>
      </c>
    </row>
    <row r="7" ht="16.5" spans="1:7">
      <c r="A7" s="16" t="s">
        <v>148</v>
      </c>
      <c r="B7" s="10">
        <v>0</v>
      </c>
      <c r="C7" s="10" t="s">
        <v>149</v>
      </c>
      <c r="D7" s="10" t="s">
        <v>142</v>
      </c>
      <c r="E7" s="10" t="s">
        <v>39</v>
      </c>
      <c r="F7" s="4" t="s">
        <v>150</v>
      </c>
      <c r="G7" s="16" t="s">
        <v>151</v>
      </c>
    </row>
    <row r="8" ht="16.5" spans="1:7">
      <c r="A8" s="16" t="s">
        <v>152</v>
      </c>
      <c r="B8" s="10">
        <v>100</v>
      </c>
      <c r="C8" s="10" t="s">
        <v>149</v>
      </c>
      <c r="D8" s="10" t="s">
        <v>146</v>
      </c>
      <c r="E8" s="10" t="s">
        <v>39</v>
      </c>
      <c r="F8" s="4" t="s">
        <v>153</v>
      </c>
      <c r="G8" s="16" t="s">
        <v>154</v>
      </c>
    </row>
    <row r="9" ht="16.5" spans="1:7">
      <c r="A9" s="16" t="s">
        <v>155</v>
      </c>
      <c r="B9" s="10">
        <v>0.01</v>
      </c>
      <c r="C9" s="10" t="s">
        <v>156</v>
      </c>
      <c r="D9" s="10" t="s">
        <v>157</v>
      </c>
      <c r="E9" s="10" t="s">
        <v>39</v>
      </c>
      <c r="F9" s="4" t="s">
        <v>143</v>
      </c>
      <c r="G9" s="16" t="s">
        <v>158</v>
      </c>
    </row>
    <row r="10" ht="16.5" spans="1:7">
      <c r="A10" s="16" t="s">
        <v>159</v>
      </c>
      <c r="B10" s="10">
        <v>0.001</v>
      </c>
      <c r="C10" s="10" t="s">
        <v>156</v>
      </c>
      <c r="D10" s="10" t="s">
        <v>142</v>
      </c>
      <c r="E10" s="10" t="s">
        <v>39</v>
      </c>
      <c r="F10" s="4" t="s">
        <v>143</v>
      </c>
      <c r="G10" s="16" t="s">
        <v>160</v>
      </c>
    </row>
    <row r="11" ht="16.5" spans="1:7">
      <c r="A11" s="16" t="s">
        <v>161</v>
      </c>
      <c r="B11" s="10">
        <v>0.1</v>
      </c>
      <c r="C11" s="10" t="s">
        <v>156</v>
      </c>
      <c r="D11" s="10" t="s">
        <v>142</v>
      </c>
      <c r="E11" s="10" t="s">
        <v>39</v>
      </c>
      <c r="F11" s="4" t="s">
        <v>143</v>
      </c>
      <c r="G11" s="16" t="s">
        <v>3</v>
      </c>
    </row>
    <row r="12" ht="16.5" spans="1:7">
      <c r="A12" s="16" t="s">
        <v>162</v>
      </c>
      <c r="B12" s="10">
        <v>1.3</v>
      </c>
      <c r="C12" s="10" t="s">
        <v>156</v>
      </c>
      <c r="D12" s="10" t="s">
        <v>146</v>
      </c>
      <c r="E12" s="10" t="s">
        <v>39</v>
      </c>
      <c r="F12" s="4" t="s">
        <v>143</v>
      </c>
      <c r="G12" s="16" t="s">
        <v>163</v>
      </c>
    </row>
    <row r="13" ht="16.5" spans="1:7">
      <c r="A13" s="16" t="s">
        <v>164</v>
      </c>
      <c r="B13" s="10">
        <v>1</v>
      </c>
      <c r="C13" s="10" t="s">
        <v>156</v>
      </c>
      <c r="D13" s="10" t="s">
        <v>146</v>
      </c>
      <c r="E13" s="10" t="s">
        <v>39</v>
      </c>
      <c r="F13" s="4" t="s">
        <v>165</v>
      </c>
      <c r="G13" s="16" t="s">
        <v>3</v>
      </c>
    </row>
    <row r="14" ht="16.5" spans="1:7">
      <c r="A14" s="16" t="s">
        <v>166</v>
      </c>
      <c r="B14" s="10">
        <v>1.25</v>
      </c>
      <c r="C14" s="10" t="s">
        <v>156</v>
      </c>
      <c r="D14" s="10" t="s">
        <v>146</v>
      </c>
      <c r="E14" s="10" t="s">
        <v>39</v>
      </c>
      <c r="F14" s="4" t="s">
        <v>165</v>
      </c>
      <c r="G14" s="16" t="s">
        <v>3</v>
      </c>
    </row>
    <row r="15" ht="16.5" spans="1:7">
      <c r="A15" s="16" t="s">
        <v>167</v>
      </c>
      <c r="B15" s="10">
        <v>1.5</v>
      </c>
      <c r="C15" s="10" t="s">
        <v>156</v>
      </c>
      <c r="D15" s="10" t="s">
        <v>146</v>
      </c>
      <c r="E15" s="10" t="s">
        <v>39</v>
      </c>
      <c r="F15" s="4" t="s">
        <v>165</v>
      </c>
      <c r="G15" s="16" t="s">
        <v>3</v>
      </c>
    </row>
    <row r="16" ht="16.5" spans="1:7">
      <c r="A16" s="16" t="s">
        <v>168</v>
      </c>
      <c r="B16" s="10">
        <v>1.5</v>
      </c>
      <c r="C16" s="10" t="s">
        <v>156</v>
      </c>
      <c r="D16" s="10" t="s">
        <v>146</v>
      </c>
      <c r="E16" s="10" t="s">
        <v>39</v>
      </c>
      <c r="F16" s="4" t="s">
        <v>169</v>
      </c>
      <c r="G16" s="16" t="s">
        <v>170</v>
      </c>
    </row>
    <row r="17" ht="16.5" spans="1:7">
      <c r="A17" s="16" t="s">
        <v>171</v>
      </c>
      <c r="B17" s="10">
        <v>1.75</v>
      </c>
      <c r="C17" s="10" t="s">
        <v>156</v>
      </c>
      <c r="D17" s="10" t="s">
        <v>146</v>
      </c>
      <c r="E17" s="10" t="s">
        <v>39</v>
      </c>
      <c r="F17" s="4" t="s">
        <v>169</v>
      </c>
      <c r="G17" s="16" t="s">
        <v>172</v>
      </c>
    </row>
    <row r="18" ht="16.5" spans="1:7">
      <c r="A18" s="16" t="s">
        <v>173</v>
      </c>
      <c r="B18" s="10" t="s">
        <v>174</v>
      </c>
      <c r="C18" s="10" t="s">
        <v>149</v>
      </c>
      <c r="D18" s="10" t="s">
        <v>45</v>
      </c>
      <c r="E18" s="10" t="s">
        <v>39</v>
      </c>
      <c r="F18" s="4" t="s">
        <v>169</v>
      </c>
      <c r="G18" s="16" t="s">
        <v>175</v>
      </c>
    </row>
    <row r="19" ht="16.5" spans="1:7">
      <c r="A19" s="16" t="s">
        <v>176</v>
      </c>
      <c r="B19" s="10">
        <v>6</v>
      </c>
      <c r="C19" s="10" t="s">
        <v>177</v>
      </c>
      <c r="D19" s="10" t="s">
        <v>146</v>
      </c>
      <c r="E19" s="10" t="s">
        <v>39</v>
      </c>
      <c r="F19" s="4" t="s">
        <v>169</v>
      </c>
      <c r="G19" s="16" t="s">
        <v>178</v>
      </c>
    </row>
    <row r="20" ht="16.5" spans="1:7">
      <c r="A20" s="16" t="s">
        <v>179</v>
      </c>
      <c r="B20" s="10" t="s">
        <v>180</v>
      </c>
      <c r="C20" s="10" t="s">
        <v>177</v>
      </c>
      <c r="D20" s="10" t="s">
        <v>146</v>
      </c>
      <c r="E20" s="10" t="s">
        <v>39</v>
      </c>
      <c r="F20" s="4" t="s">
        <v>169</v>
      </c>
      <c r="G20" s="16" t="s">
        <v>3</v>
      </c>
    </row>
    <row r="21" ht="16.5" spans="1:7">
      <c r="A21" s="16" t="s">
        <v>181</v>
      </c>
      <c r="B21" s="10" t="s">
        <v>182</v>
      </c>
      <c r="C21" s="10" t="s">
        <v>177</v>
      </c>
      <c r="D21" s="10" t="s">
        <v>146</v>
      </c>
      <c r="E21" s="10" t="s">
        <v>39</v>
      </c>
      <c r="F21" s="4" t="s">
        <v>169</v>
      </c>
      <c r="G21" s="16" t="s">
        <v>3</v>
      </c>
    </row>
    <row r="22" ht="16.5" spans="1:7">
      <c r="A22" s="16" t="s">
        <v>183</v>
      </c>
      <c r="B22" s="10" t="s">
        <v>184</v>
      </c>
      <c r="C22" s="10" t="s">
        <v>177</v>
      </c>
      <c r="D22" s="10" t="s">
        <v>146</v>
      </c>
      <c r="E22" s="10" t="s">
        <v>39</v>
      </c>
      <c r="F22" s="4" t="s">
        <v>169</v>
      </c>
      <c r="G22" s="16" t="s">
        <v>3</v>
      </c>
    </row>
    <row r="23" ht="16.5" spans="1:7">
      <c r="A23" s="16" t="s">
        <v>185</v>
      </c>
      <c r="B23" s="10" t="s">
        <v>186</v>
      </c>
      <c r="C23" s="10" t="s">
        <v>177</v>
      </c>
      <c r="D23" s="10" t="s">
        <v>146</v>
      </c>
      <c r="E23" s="10" t="s">
        <v>39</v>
      </c>
      <c r="F23" s="4" t="s">
        <v>169</v>
      </c>
      <c r="G23" s="16" t="s">
        <v>187</v>
      </c>
    </row>
    <row r="24" ht="16.5" spans="1:7">
      <c r="A24" s="16" t="s">
        <v>188</v>
      </c>
      <c r="B24" s="10">
        <v>1</v>
      </c>
      <c r="C24" s="10" t="s">
        <v>189</v>
      </c>
      <c r="D24" s="10" t="s">
        <v>146</v>
      </c>
      <c r="E24" s="10" t="s">
        <v>39</v>
      </c>
      <c r="F24" s="4" t="s">
        <v>143</v>
      </c>
      <c r="G24" s="16" t="s">
        <v>190</v>
      </c>
    </row>
    <row r="25" ht="16.5" spans="1:7">
      <c r="A25" s="16" t="s">
        <v>191</v>
      </c>
      <c r="B25" s="10">
        <v>0.8</v>
      </c>
      <c r="C25" s="10" t="s">
        <v>189</v>
      </c>
      <c r="D25" s="10" t="s">
        <v>146</v>
      </c>
      <c r="E25" s="10" t="s">
        <v>39</v>
      </c>
      <c r="F25" s="4" t="s">
        <v>143</v>
      </c>
      <c r="G25" s="16" t="s">
        <v>192</v>
      </c>
    </row>
    <row r="26" ht="16.5" spans="1:7">
      <c r="A26" s="16" t="s">
        <v>193</v>
      </c>
      <c r="B26" s="10">
        <v>0.5</v>
      </c>
      <c r="C26" s="10" t="s">
        <v>189</v>
      </c>
      <c r="D26" s="10" t="s">
        <v>146</v>
      </c>
      <c r="E26" s="10" t="s">
        <v>39</v>
      </c>
      <c r="F26" s="4" t="s">
        <v>143</v>
      </c>
      <c r="G26" s="16" t="s">
        <v>194</v>
      </c>
    </row>
    <row r="27" ht="16.5" spans="1:7">
      <c r="A27" s="16" t="s">
        <v>195</v>
      </c>
      <c r="B27" s="10">
        <v>1</v>
      </c>
      <c r="C27" s="10" t="s">
        <v>189</v>
      </c>
      <c r="D27" s="10" t="s">
        <v>146</v>
      </c>
      <c r="E27" s="10" t="s">
        <v>39</v>
      </c>
      <c r="F27" s="4" t="s">
        <v>143</v>
      </c>
      <c r="G27" s="16" t="s">
        <v>196</v>
      </c>
    </row>
    <row r="28" ht="16.5" spans="1:7">
      <c r="A28" s="16" t="s">
        <v>197</v>
      </c>
      <c r="B28" s="10" t="s">
        <v>198</v>
      </c>
      <c r="C28" s="10" t="s">
        <v>141</v>
      </c>
      <c r="D28" s="10" t="s">
        <v>45</v>
      </c>
      <c r="E28" s="10" t="s">
        <v>39</v>
      </c>
      <c r="F28" s="4" t="s">
        <v>143</v>
      </c>
      <c r="G28" s="16" t="s">
        <v>199</v>
      </c>
    </row>
    <row r="29" ht="16.5" spans="1:7">
      <c r="A29" s="16" t="s">
        <v>200</v>
      </c>
      <c r="B29" s="10" t="s">
        <v>201</v>
      </c>
      <c r="C29" s="10" t="s">
        <v>141</v>
      </c>
      <c r="D29" s="10" t="s">
        <v>45</v>
      </c>
      <c r="E29" s="10" t="s">
        <v>39</v>
      </c>
      <c r="F29" s="4" t="s">
        <v>143</v>
      </c>
      <c r="G29" s="16" t="s">
        <v>199</v>
      </c>
    </row>
    <row r="30" ht="16.5" spans="1:7">
      <c r="A30" s="16" t="s">
        <v>202</v>
      </c>
      <c r="B30" s="10" t="s">
        <v>203</v>
      </c>
      <c r="C30" s="10" t="s">
        <v>156</v>
      </c>
      <c r="D30" s="10" t="s">
        <v>45</v>
      </c>
      <c r="E30" s="10" t="s">
        <v>39</v>
      </c>
      <c r="F30" s="4" t="s">
        <v>143</v>
      </c>
      <c r="G30" s="16" t="s">
        <v>3</v>
      </c>
    </row>
    <row r="31" ht="16.5" spans="1:7">
      <c r="A31" s="16" t="s">
        <v>204</v>
      </c>
      <c r="B31" s="10" t="s">
        <v>205</v>
      </c>
      <c r="C31" s="10" t="s">
        <v>156</v>
      </c>
      <c r="D31" s="10" t="s">
        <v>45</v>
      </c>
      <c r="E31" s="10" t="s">
        <v>39</v>
      </c>
      <c r="F31" s="4" t="s">
        <v>150</v>
      </c>
      <c r="G31" s="16" t="s">
        <v>206</v>
      </c>
    </row>
    <row r="32" ht="16.5" spans="1:7">
      <c r="A32" s="16" t="s">
        <v>207</v>
      </c>
      <c r="B32" s="10" t="s">
        <v>208</v>
      </c>
      <c r="C32" s="10" t="s">
        <v>156</v>
      </c>
      <c r="D32" s="10" t="s">
        <v>45</v>
      </c>
      <c r="E32" s="10" t="s">
        <v>39</v>
      </c>
      <c r="F32" s="4" t="s">
        <v>209</v>
      </c>
      <c r="G32" s="16" t="s">
        <v>210</v>
      </c>
    </row>
    <row r="33" ht="16.5" spans="1:7">
      <c r="A33" s="16" t="s">
        <v>211</v>
      </c>
      <c r="B33" s="10" t="s">
        <v>212</v>
      </c>
      <c r="C33" s="10" t="s">
        <v>156</v>
      </c>
      <c r="D33" s="10" t="s">
        <v>45</v>
      </c>
      <c r="E33" s="10" t="s">
        <v>39</v>
      </c>
      <c r="F33" s="4" t="s">
        <v>213</v>
      </c>
      <c r="G33" s="16" t="s">
        <v>214</v>
      </c>
    </row>
    <row r="34" ht="16.5" spans="1:7">
      <c r="A34" s="16" t="s">
        <v>215</v>
      </c>
      <c r="B34" s="10">
        <v>100</v>
      </c>
      <c r="C34" s="10" t="s">
        <v>149</v>
      </c>
      <c r="D34" s="10" t="s">
        <v>45</v>
      </c>
      <c r="E34" s="10" t="s">
        <v>39</v>
      </c>
      <c r="F34" s="4" t="s">
        <v>143</v>
      </c>
      <c r="G34" s="16" t="s">
        <v>216</v>
      </c>
    </row>
    <row r="35" ht="16.5" spans="1:7">
      <c r="A35" s="16" t="s">
        <v>217</v>
      </c>
      <c r="B35" s="10">
        <v>140</v>
      </c>
      <c r="C35" s="10" t="s">
        <v>149</v>
      </c>
      <c r="D35" s="10" t="s">
        <v>45</v>
      </c>
      <c r="E35" s="10" t="s">
        <v>39</v>
      </c>
      <c r="F35" s="4" t="s">
        <v>143</v>
      </c>
      <c r="G35" s="16" t="s">
        <v>218</v>
      </c>
    </row>
    <row r="36" ht="16.5" spans="1:7">
      <c r="A36" s="16" t="s">
        <v>219</v>
      </c>
      <c r="B36" s="10">
        <v>0.416</v>
      </c>
      <c r="C36" s="10" t="s">
        <v>156</v>
      </c>
      <c r="D36" s="10" t="s">
        <v>45</v>
      </c>
      <c r="E36" s="10" t="s">
        <v>39</v>
      </c>
      <c r="F36" s="4" t="s">
        <v>220</v>
      </c>
      <c r="G36" s="16" t="s">
        <v>221</v>
      </c>
    </row>
    <row r="37" ht="16.5" spans="1:7">
      <c r="A37" s="16" t="s">
        <v>222</v>
      </c>
      <c r="B37" s="10">
        <v>0.5</v>
      </c>
      <c r="C37" s="10" t="s">
        <v>156</v>
      </c>
      <c r="D37" s="10" t="s">
        <v>157</v>
      </c>
      <c r="E37" s="10" t="s">
        <v>39</v>
      </c>
      <c r="F37" s="4" t="s">
        <v>150</v>
      </c>
      <c r="G37" s="16" t="s">
        <v>223</v>
      </c>
    </row>
  </sheetData>
  <autoFilter xmlns:etc="http://www.wps.cn/officeDocument/2017/etCustomData" ref="A2:G37" etc:filterBottomFollowUsedRange="0">
    <extLst/>
  </autoFilter>
  <mergeCells count="1">
    <mergeCell ref="A1:G1"/>
  </mergeCells>
  <conditionalFormatting sqref="E3:E37">
    <cfRule type="cellIs" dxfId="0" priority="1" operator="equal">
      <formula>"实测"</formula>
    </cfRule>
    <cfRule type="cellIs" dxfId="1" priority="2" operator="equal">
      <formula>"待补录"</formula>
    </cfRule>
    <cfRule type="cellIs" dxfId="2" priority="3" operator="equal">
      <formula>"存疑"</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7"/>
  <sheetViews>
    <sheetView topLeftCell="A26" workbookViewId="0">
      <selection activeCell="A1" sqref="A1:F1"/>
    </sheetView>
  </sheetViews>
  <sheetFormatPr defaultColWidth="9" defaultRowHeight="13.5" outlineLevelCol="5"/>
  <cols>
    <col min="1" max="1" width="26" customWidth="1"/>
    <col min="2" max="2" width="16" customWidth="1"/>
    <col min="3" max="3" width="12" customWidth="1"/>
    <col min="4" max="4" width="44" customWidth="1"/>
    <col min="5" max="5" width="12" customWidth="1"/>
    <col min="6" max="6" width="14" customWidth="1"/>
  </cols>
  <sheetData>
    <row r="1" ht="26" customHeight="1" spans="1:4">
      <c r="A1" s="1" t="s">
        <v>224</v>
      </c>
    </row>
    <row r="3" ht="16.5" spans="1:4">
      <c r="A3" s="2" t="s">
        <v>225</v>
      </c>
    </row>
    <row r="4" ht="16.5" spans="1:4">
      <c r="A4" s="17" t="s">
        <v>226</v>
      </c>
      <c r="B4" s="5">
        <v>319</v>
      </c>
      <c r="C4" s="18" t="s">
        <v>149</v>
      </c>
      <c r="D4" s="9" t="s">
        <v>227</v>
      </c>
    </row>
    <row r="5" ht="16.5" spans="1:4">
      <c r="A5" s="17" t="s">
        <v>228</v>
      </c>
      <c r="B5" s="5">
        <v>500</v>
      </c>
      <c r="C5" s="18" t="s">
        <v>149</v>
      </c>
      <c r="D5" s="9" t="s">
        <v>229</v>
      </c>
    </row>
    <row r="6" ht="16.5" spans="1:4">
      <c r="A6" s="17" t="s">
        <v>230</v>
      </c>
      <c r="B6" s="5">
        <v>0.39</v>
      </c>
      <c r="C6" s="18" t="s">
        <v>141</v>
      </c>
      <c r="D6" s="9" t="s">
        <v>231</v>
      </c>
    </row>
    <row r="7" ht="16.5" spans="1:4">
      <c r="A7" s="17" t="s">
        <v>232</v>
      </c>
      <c r="B7" s="5">
        <v>0</v>
      </c>
      <c r="C7" s="18" t="s">
        <v>149</v>
      </c>
      <c r="D7" s="9" t="s">
        <v>233</v>
      </c>
    </row>
    <row r="8" ht="16.5" spans="1:4">
      <c r="A8" s="17" t="s">
        <v>234</v>
      </c>
      <c r="B8" s="5">
        <v>272</v>
      </c>
      <c r="C8" s="18" t="s">
        <v>149</v>
      </c>
      <c r="D8" s="9" t="s">
        <v>235</v>
      </c>
    </row>
    <row r="9" ht="16.5" spans="1:4">
      <c r="A9" s="17" t="s">
        <v>236</v>
      </c>
      <c r="B9" s="5">
        <v>123</v>
      </c>
      <c r="C9" s="18" t="s">
        <v>149</v>
      </c>
      <c r="D9" s="9" t="s">
        <v>235</v>
      </c>
    </row>
    <row r="10" ht="16.5" spans="1:4">
      <c r="A10" s="17" t="s">
        <v>237</v>
      </c>
      <c r="B10" s="5">
        <v>2.25</v>
      </c>
      <c r="C10" s="18" t="s">
        <v>141</v>
      </c>
      <c r="D10" s="9" t="s">
        <v>238</v>
      </c>
    </row>
    <row r="11" ht="16.5" spans="1:4">
      <c r="A11" s="17" t="s">
        <v>239</v>
      </c>
      <c r="B11" s="5">
        <v>0.05</v>
      </c>
      <c r="C11" s="18" t="s">
        <v>141</v>
      </c>
      <c r="D11" s="9" t="s">
        <v>240</v>
      </c>
    </row>
    <row r="12" ht="16.5" spans="1:4">
      <c r="A12" s="17" t="s">
        <v>241</v>
      </c>
      <c r="B12" s="5">
        <v>0.5</v>
      </c>
      <c r="C12" s="18" t="s">
        <v>141</v>
      </c>
      <c r="D12" s="9" t="s">
        <v>242</v>
      </c>
    </row>
    <row r="13" ht="16.5" spans="1:4">
      <c r="A13" s="17" t="s">
        <v>243</v>
      </c>
      <c r="B13" s="5">
        <v>0.336</v>
      </c>
      <c r="C13" s="18" t="s">
        <v>141</v>
      </c>
      <c r="D13" s="9" t="s">
        <v>244</v>
      </c>
    </row>
    <row r="14" ht="16.5" spans="1:4">
      <c r="A14" s="17" t="s">
        <v>245</v>
      </c>
      <c r="B14" s="5">
        <v>0</v>
      </c>
      <c r="C14" s="18" t="s">
        <v>141</v>
      </c>
      <c r="D14" s="9" t="s">
        <v>246</v>
      </c>
    </row>
    <row r="15" ht="16.5" spans="1:4">
      <c r="A15" s="17" t="s">
        <v>247</v>
      </c>
      <c r="B15" s="5">
        <v>0</v>
      </c>
      <c r="C15" s="18" t="s">
        <v>141</v>
      </c>
      <c r="D15" s="9" t="s">
        <v>248</v>
      </c>
    </row>
    <row r="16" ht="16.5" spans="1:4">
      <c r="A16" s="17" t="s">
        <v>249</v>
      </c>
      <c r="B16" s="5">
        <v>0</v>
      </c>
      <c r="C16" s="18" t="s">
        <v>141</v>
      </c>
      <c r="D16" s="9" t="s">
        <v>250</v>
      </c>
    </row>
    <row r="17" ht="16.5" spans="1:4">
      <c r="A17" s="17" t="s">
        <v>251</v>
      </c>
      <c r="B17" s="5">
        <v>0</v>
      </c>
      <c r="C17" s="18" t="s">
        <v>141</v>
      </c>
      <c r="D17" s="9" t="s">
        <v>252</v>
      </c>
    </row>
    <row r="18" ht="16.5" spans="1:4">
      <c r="A18" s="17" t="s">
        <v>253</v>
      </c>
      <c r="B18" s="5">
        <v>0</v>
      </c>
      <c r="C18" s="18" t="s">
        <v>141</v>
      </c>
      <c r="D18" s="9" t="s">
        <v>254</v>
      </c>
    </row>
    <row r="19" ht="16.5" spans="1:4">
      <c r="A19" s="17" t="s">
        <v>255</v>
      </c>
      <c r="B19" s="5">
        <v>0</v>
      </c>
      <c r="C19" s="18" t="s">
        <v>141</v>
      </c>
      <c r="D19" s="9" t="s">
        <v>256</v>
      </c>
    </row>
    <row r="20" ht="16.5" spans="1:4">
      <c r="A20" s="17" t="s">
        <v>257</v>
      </c>
      <c r="B20" s="5">
        <v>0</v>
      </c>
      <c r="C20" s="18" t="s">
        <v>258</v>
      </c>
      <c r="D20" s="9" t="s">
        <v>259</v>
      </c>
    </row>
    <row r="21" ht="16.5" spans="1:4">
      <c r="A21" s="17" t="s">
        <v>260</v>
      </c>
      <c r="B21" s="5">
        <v>100</v>
      </c>
      <c r="C21" s="18" t="s">
        <v>149</v>
      </c>
      <c r="D21" s="9" t="s">
        <v>261</v>
      </c>
    </row>
    <row r="22" ht="16.5" spans="1:4">
      <c r="A22" s="17" t="s">
        <v>262</v>
      </c>
      <c r="B22" s="5">
        <v>0.8</v>
      </c>
      <c r="C22" s="18" t="s">
        <v>156</v>
      </c>
      <c r="D22" s="9" t="s">
        <v>263</v>
      </c>
    </row>
    <row r="23" ht="16.5" spans="1:4">
      <c r="A23" s="17" t="s">
        <v>264</v>
      </c>
      <c r="B23" s="5">
        <v>1</v>
      </c>
      <c r="C23" s="18" t="s">
        <v>156</v>
      </c>
      <c r="D23" s="9" t="s">
        <v>265</v>
      </c>
    </row>
    <row r="25" ht="16.5" spans="1:4">
      <c r="A25" s="2" t="s">
        <v>266</v>
      </c>
    </row>
    <row r="26" ht="16.5" spans="1:4">
      <c r="A26" s="17" t="s">
        <v>267</v>
      </c>
      <c r="B26" s="6">
        <f>$B$8*0.005+$B$9*0.002</f>
        <v>1.606</v>
      </c>
      <c r="C26" s="18" t="s">
        <v>141</v>
      </c>
      <c r="D26" s="9" t="s">
        <v>49</v>
      </c>
    </row>
    <row r="27" ht="16.5" spans="1:4">
      <c r="A27" s="17" t="s">
        <v>268</v>
      </c>
      <c r="B27" s="6">
        <f>($B$4+$B$5)*(1+$B$6)+$B$7</f>
        <v>1138.41</v>
      </c>
      <c r="C27" s="18" t="s">
        <v>149</v>
      </c>
      <c r="D27" s="9" t="s">
        <v>269</v>
      </c>
    </row>
    <row r="28" ht="16.5" spans="1:4">
      <c r="A28" s="17" t="s">
        <v>270</v>
      </c>
      <c r="B28" s="6">
        <f>$B$27*(1+$B$26)</f>
        <v>2966.69646</v>
      </c>
      <c r="C28" s="18" t="s">
        <v>149</v>
      </c>
      <c r="D28" s="9" t="s">
        <v>271</v>
      </c>
    </row>
    <row r="29" ht="16.5" spans="1:4">
      <c r="A29" s="17" t="s">
        <v>34</v>
      </c>
      <c r="B29" s="6">
        <f>$B$10*$B$28</f>
        <v>6675.067035</v>
      </c>
      <c r="C29" s="18" t="s">
        <v>149</v>
      </c>
      <c r="D29" s="9" t="s">
        <v>272</v>
      </c>
    </row>
    <row r="30" ht="16.5" spans="1:4">
      <c r="A30" s="17" t="s">
        <v>273</v>
      </c>
      <c r="B30" s="28">
        <f>1</f>
        <v>1</v>
      </c>
      <c r="C30" s="18" t="s">
        <v>156</v>
      </c>
      <c r="D30" s="9" t="s">
        <v>274</v>
      </c>
    </row>
    <row r="31" ht="16.5" spans="1:4">
      <c r="A31" s="17" t="s">
        <v>275</v>
      </c>
      <c r="B31" s="28">
        <f>1+$B$12</f>
        <v>1.5</v>
      </c>
      <c r="C31" s="18" t="s">
        <v>156</v>
      </c>
      <c r="D31" s="9" t="s">
        <v>276</v>
      </c>
    </row>
    <row r="32" ht="16.5" spans="1:4">
      <c r="A32" s="17" t="s">
        <v>277</v>
      </c>
      <c r="B32" s="28">
        <f>1+$B$11*$B$12</f>
        <v>1.025</v>
      </c>
      <c r="C32" s="18" t="s">
        <v>156</v>
      </c>
      <c r="D32" s="9" t="s">
        <v>278</v>
      </c>
    </row>
    <row r="33" ht="16.5" spans="1:4">
      <c r="A33" s="17" t="s">
        <v>63</v>
      </c>
      <c r="B33" s="28">
        <f>1+$B$13</f>
        <v>1.336</v>
      </c>
      <c r="C33" s="18" t="s">
        <v>156</v>
      </c>
      <c r="D33" s="9" t="s">
        <v>279</v>
      </c>
    </row>
    <row r="34" ht="16.5" spans="1:4">
      <c r="A34" s="17" t="s">
        <v>76</v>
      </c>
      <c r="B34" s="28">
        <f>1+$B$14</f>
        <v>1</v>
      </c>
      <c r="C34" s="18" t="s">
        <v>156</v>
      </c>
      <c r="D34" s="9" t="s">
        <v>78</v>
      </c>
    </row>
    <row r="35" ht="16.5" spans="1:4">
      <c r="A35" s="17" t="s">
        <v>90</v>
      </c>
      <c r="B35" s="28">
        <f>1+$B$15</f>
        <v>1</v>
      </c>
      <c r="C35" s="18" t="s">
        <v>156</v>
      </c>
      <c r="D35" s="9" t="s">
        <v>280</v>
      </c>
    </row>
    <row r="36" ht="16.5" spans="1:4">
      <c r="A36" s="17" t="s">
        <v>81</v>
      </c>
      <c r="B36" s="28">
        <f>1+$B$16</f>
        <v>1</v>
      </c>
      <c r="C36" s="18" t="s">
        <v>156</v>
      </c>
      <c r="D36" s="9" t="s">
        <v>281</v>
      </c>
    </row>
    <row r="37" ht="16.5" spans="1:4">
      <c r="A37" s="17" t="s">
        <v>85</v>
      </c>
      <c r="B37" s="28">
        <f>1-$B$17</f>
        <v>1</v>
      </c>
      <c r="C37" s="18" t="s">
        <v>156</v>
      </c>
      <c r="D37" s="9" t="s">
        <v>282</v>
      </c>
    </row>
    <row r="38" ht="16.5" spans="1:4">
      <c r="A38" s="17" t="s">
        <v>70</v>
      </c>
      <c r="B38" s="28">
        <f>1-$B$18</f>
        <v>1</v>
      </c>
      <c r="C38" s="18" t="s">
        <v>156</v>
      </c>
      <c r="D38" s="9" t="s">
        <v>283</v>
      </c>
    </row>
    <row r="39" ht="16.5" spans="1:4">
      <c r="A39" s="17" t="s">
        <v>94</v>
      </c>
      <c r="B39" s="28">
        <f>IF($B$21&gt;=0,100/($B$21+100),2-0.99^(-$B$21))</f>
        <v>0.5</v>
      </c>
      <c r="C39" s="18" t="s">
        <v>156</v>
      </c>
      <c r="D39" s="9" t="s">
        <v>284</v>
      </c>
    </row>
    <row r="40" ht="16.5" spans="1:4">
      <c r="A40" s="17" t="s">
        <v>98</v>
      </c>
      <c r="B40" s="28">
        <f>IF($B$20=1,1.3,1)</f>
        <v>1</v>
      </c>
      <c r="C40" s="18" t="s">
        <v>156</v>
      </c>
      <c r="D40" s="9" t="s">
        <v>285</v>
      </c>
    </row>
    <row r="41" ht="16.5" spans="1:4">
      <c r="A41" s="17" t="s">
        <v>110</v>
      </c>
      <c r="B41" s="28">
        <f>$B$22</f>
        <v>0.8</v>
      </c>
      <c r="C41" s="18" t="s">
        <v>156</v>
      </c>
      <c r="D41" s="9" t="s">
        <v>286</v>
      </c>
    </row>
    <row r="42" ht="16.5" spans="1:4">
      <c r="A42" s="17" t="s">
        <v>106</v>
      </c>
      <c r="B42" s="28">
        <f>$B$23</f>
        <v>1</v>
      </c>
      <c r="C42" s="18" t="s">
        <v>156</v>
      </c>
      <c r="D42" s="9" t="s">
        <v>287</v>
      </c>
    </row>
    <row r="43" ht="16.5" spans="1:4">
      <c r="A43" s="17" t="s">
        <v>118</v>
      </c>
      <c r="B43" s="28">
        <f>1+$B$19</f>
        <v>1</v>
      </c>
      <c r="C43" s="18" t="s">
        <v>156</v>
      </c>
      <c r="D43" s="9" t="s">
        <v>120</v>
      </c>
    </row>
    <row r="45" ht="16.5" spans="1:4">
      <c r="A45" s="2" t="s">
        <v>288</v>
      </c>
    </row>
    <row r="46" ht="16.5" spans="1:4">
      <c r="A46" s="29" t="s">
        <v>289</v>
      </c>
      <c r="B46" s="30">
        <f>$B$29*$B$30*$B$33*$B$38*$B$34*$B$36*$B$37*$B$35*$B$39*$B$40*$B$42*$B$41*$B$43</f>
        <v>3567.155823504</v>
      </c>
    </row>
    <row r="47" ht="16.5" spans="1:4">
      <c r="A47" s="29" t="s">
        <v>241</v>
      </c>
      <c r="B47" s="30">
        <f>$B$29*$B$31*$B$33*$B$38*$B$34*$B$36*$B$37*$B$35*$B$39*$B$40*$B$42*$B$41*$B$43</f>
        <v>5350.733735256</v>
      </c>
    </row>
    <row r="48" ht="16.5" spans="1:4">
      <c r="A48" s="29" t="s">
        <v>290</v>
      </c>
      <c r="B48" s="30">
        <f>$B$29*$B$32*$B$33*$B$38*$B$34*$B$36*$B$37*$B$35*$B$39*$B$40*$B$42*$B$41*$B$43</f>
        <v>3656.3347190916</v>
      </c>
    </row>
    <row r="49" ht="16.5" spans="1:2">
      <c r="A49" s="29" t="s">
        <v>291</v>
      </c>
      <c r="B49" s="30">
        <f>$B$30*$B$33*$B$38*$B$34*$B$36*$B$37*$B$35*$B$39*$B$40*$B$42*$B$41*$B$43</f>
        <v>0.5344</v>
      </c>
    </row>
    <row r="51" ht="16.5" spans="1:2">
      <c r="A51" s="2" t="s">
        <v>292</v>
      </c>
    </row>
    <row r="52" ht="14.25" spans="1:2">
      <c r="A52" s="9" t="s">
        <v>293</v>
      </c>
    </row>
    <row r="54" spans="1:2">
      <c r="A54" s="9" t="s">
        <v>294</v>
      </c>
    </row>
  </sheetData>
  <mergeCells count="7">
    <mergeCell ref="A1:F1"/>
    <mergeCell ref="A3:F3"/>
    <mergeCell ref="A25:F25"/>
    <mergeCell ref="A45:F45"/>
    <mergeCell ref="A51:F51"/>
    <mergeCell ref="A52:F52"/>
    <mergeCell ref="A54:F5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1"/>
  <sheetViews>
    <sheetView workbookViewId="0">
      <pane xSplit="1" ySplit="2" topLeftCell="B3" activePane="bottomRight" state="frozen"/>
      <selection/>
      <selection pane="topRight"/>
      <selection pane="bottomLeft"/>
      <selection pane="bottomRight" activeCell="A1" sqref="A1:O1"/>
    </sheetView>
  </sheetViews>
  <sheetFormatPr defaultColWidth="9" defaultRowHeight="13.5"/>
  <cols>
    <col min="1" max="1" width="16" customWidth="1"/>
    <col min="2" max="2" width="22" customWidth="1"/>
    <col min="3" max="3" width="11" customWidth="1"/>
    <col min="4" max="4" width="9" customWidth="1"/>
    <col min="5" max="10" width="8" customWidth="1"/>
    <col min="11" max="11" width="30" customWidth="1"/>
    <col min="12" max="12" width="34" customWidth="1"/>
    <col min="13" max="13" width="62" customWidth="1"/>
    <col min="14" max="14" width="22" customWidth="1"/>
    <col min="15" max="15" width="9" customWidth="1"/>
  </cols>
  <sheetData>
    <row r="1" ht="26" customHeight="1" spans="1:15">
      <c r="A1" s="1" t="s">
        <v>295</v>
      </c>
    </row>
    <row r="2" ht="30" customHeight="1" spans="1:15">
      <c r="A2" s="3" t="s">
        <v>296</v>
      </c>
      <c r="B2" s="3" t="s">
        <v>297</v>
      </c>
      <c r="C2" s="3" t="s">
        <v>298</v>
      </c>
      <c r="D2" s="3" t="s">
        <v>299</v>
      </c>
      <c r="E2" s="3" t="s">
        <v>300</v>
      </c>
      <c r="F2" s="3" t="s">
        <v>301</v>
      </c>
      <c r="G2" s="3" t="s">
        <v>302</v>
      </c>
      <c r="H2" s="3" t="s">
        <v>303</v>
      </c>
      <c r="I2" s="3" t="s">
        <v>304</v>
      </c>
      <c r="J2" s="3" t="s">
        <v>305</v>
      </c>
      <c r="K2" s="3" t="s">
        <v>306</v>
      </c>
      <c r="L2" s="3" t="s">
        <v>307</v>
      </c>
      <c r="M2" s="3" t="s">
        <v>308</v>
      </c>
      <c r="N2" s="3" t="s">
        <v>309</v>
      </c>
      <c r="O2" s="3" t="s">
        <v>32</v>
      </c>
    </row>
    <row r="3" ht="33" spans="1:15">
      <c r="A3" s="4" t="s">
        <v>310</v>
      </c>
      <c r="B3" s="4" t="s">
        <v>311</v>
      </c>
      <c r="C3" s="10" t="s">
        <v>312</v>
      </c>
      <c r="D3" s="10" t="s">
        <v>3</v>
      </c>
      <c r="E3" s="10">
        <v>1</v>
      </c>
      <c r="F3" s="10">
        <v>1</v>
      </c>
      <c r="G3" s="10">
        <v>0.8</v>
      </c>
      <c r="H3" s="10">
        <v>0.8</v>
      </c>
      <c r="I3" s="10">
        <v>1</v>
      </c>
      <c r="J3" s="10">
        <v>1</v>
      </c>
      <c r="K3" s="16" t="s">
        <v>3</v>
      </c>
      <c r="L3" s="16" t="s">
        <v>313</v>
      </c>
      <c r="M3" s="16" t="s">
        <v>314</v>
      </c>
      <c r="N3" s="16" t="s">
        <v>315</v>
      </c>
      <c r="O3" s="10" t="s">
        <v>39</v>
      </c>
    </row>
    <row r="4" ht="33" spans="1:15">
      <c r="A4" s="4" t="s">
        <v>316</v>
      </c>
      <c r="B4" s="4" t="s">
        <v>317</v>
      </c>
      <c r="C4" s="10" t="s">
        <v>312</v>
      </c>
      <c r="D4" s="10" t="s">
        <v>3</v>
      </c>
      <c r="E4" s="10">
        <v>1</v>
      </c>
      <c r="F4" s="10">
        <v>1</v>
      </c>
      <c r="G4" s="10">
        <v>1</v>
      </c>
      <c r="H4" s="10">
        <v>1</v>
      </c>
      <c r="I4" s="10">
        <v>1</v>
      </c>
      <c r="J4" s="10">
        <v>1</v>
      </c>
      <c r="K4" s="16" t="s">
        <v>3</v>
      </c>
      <c r="L4" s="16" t="s">
        <v>318</v>
      </c>
      <c r="M4" s="16" t="s">
        <v>319</v>
      </c>
      <c r="N4" s="16" t="s">
        <v>320</v>
      </c>
      <c r="O4" s="10" t="s">
        <v>39</v>
      </c>
    </row>
    <row r="5" ht="16.5" spans="1:15">
      <c r="A5" s="4" t="s">
        <v>321</v>
      </c>
      <c r="B5" s="4" t="s">
        <v>322</v>
      </c>
      <c r="C5" s="10" t="s">
        <v>312</v>
      </c>
      <c r="D5" s="10" t="s">
        <v>3</v>
      </c>
      <c r="E5" s="10">
        <v>1</v>
      </c>
      <c r="F5" s="10">
        <v>1</v>
      </c>
      <c r="G5" s="10">
        <v>1</v>
      </c>
      <c r="H5" s="10">
        <v>1</v>
      </c>
      <c r="I5" s="10">
        <v>1</v>
      </c>
      <c r="J5" s="10">
        <v>1</v>
      </c>
      <c r="K5" s="16" t="s">
        <v>3</v>
      </c>
      <c r="L5" s="16" t="s">
        <v>323</v>
      </c>
      <c r="M5" s="16" t="s">
        <v>319</v>
      </c>
      <c r="N5" s="16" t="s">
        <v>324</v>
      </c>
      <c r="O5" s="10" t="s">
        <v>39</v>
      </c>
    </row>
    <row r="6" ht="33" spans="1:15">
      <c r="A6" s="4" t="s">
        <v>325</v>
      </c>
      <c r="B6" s="4" t="s">
        <v>326</v>
      </c>
      <c r="C6" s="10" t="s">
        <v>312</v>
      </c>
      <c r="D6" s="10" t="s">
        <v>3</v>
      </c>
      <c r="E6" s="10">
        <v>1</v>
      </c>
      <c r="F6" s="10">
        <v>1</v>
      </c>
      <c r="G6" s="10">
        <v>1</v>
      </c>
      <c r="H6" s="10">
        <v>1</v>
      </c>
      <c r="I6" s="10">
        <v>1</v>
      </c>
      <c r="J6" s="10">
        <v>1</v>
      </c>
      <c r="K6" s="16" t="s">
        <v>3</v>
      </c>
      <c r="L6" s="16" t="s">
        <v>327</v>
      </c>
      <c r="M6" s="16" t="s">
        <v>328</v>
      </c>
      <c r="N6" s="16" t="s">
        <v>329</v>
      </c>
      <c r="O6" s="10" t="s">
        <v>39</v>
      </c>
    </row>
    <row r="7" ht="33" spans="1:15">
      <c r="A7" s="4" t="s">
        <v>330</v>
      </c>
      <c r="B7" s="4" t="s">
        <v>331</v>
      </c>
      <c r="C7" s="10" t="s">
        <v>312</v>
      </c>
      <c r="D7" s="10" t="s">
        <v>3</v>
      </c>
      <c r="E7" s="10">
        <v>0.8</v>
      </c>
      <c r="F7" s="10">
        <v>0.8</v>
      </c>
      <c r="G7" s="10">
        <v>1</v>
      </c>
      <c r="H7" s="10">
        <v>1</v>
      </c>
      <c r="I7" s="10">
        <v>0.8</v>
      </c>
      <c r="J7" s="10">
        <v>1</v>
      </c>
      <c r="K7" s="16" t="s">
        <v>3</v>
      </c>
      <c r="L7" s="16" t="s">
        <v>332</v>
      </c>
      <c r="M7" s="16" t="s">
        <v>333</v>
      </c>
      <c r="N7" s="16" t="s">
        <v>329</v>
      </c>
      <c r="O7" s="10" t="s">
        <v>39</v>
      </c>
    </row>
    <row r="8" ht="33" spans="1:15">
      <c r="A8" s="4" t="s">
        <v>334</v>
      </c>
      <c r="B8" s="4" t="s">
        <v>335</v>
      </c>
      <c r="C8" s="10" t="s">
        <v>312</v>
      </c>
      <c r="D8" s="10" t="s">
        <v>3</v>
      </c>
      <c r="E8" s="10">
        <v>1</v>
      </c>
      <c r="F8" s="10">
        <v>1</v>
      </c>
      <c r="G8" s="10">
        <v>1</v>
      </c>
      <c r="H8" s="10">
        <v>1</v>
      </c>
      <c r="I8" s="10">
        <v>1</v>
      </c>
      <c r="J8" s="10">
        <v>1</v>
      </c>
      <c r="K8" s="16" t="s">
        <v>3</v>
      </c>
      <c r="L8" s="16" t="s">
        <v>336</v>
      </c>
      <c r="M8" s="16" t="s">
        <v>319</v>
      </c>
      <c r="N8" s="16" t="s">
        <v>320</v>
      </c>
      <c r="O8" s="10" t="s">
        <v>39</v>
      </c>
    </row>
    <row r="9" ht="33" spans="1:15">
      <c r="A9" s="4" t="s">
        <v>337</v>
      </c>
      <c r="B9" s="4" t="s">
        <v>338</v>
      </c>
      <c r="C9" s="10" t="s">
        <v>312</v>
      </c>
      <c r="D9" s="10" t="s">
        <v>3</v>
      </c>
      <c r="E9" s="10">
        <v>1</v>
      </c>
      <c r="F9" s="10">
        <v>1</v>
      </c>
      <c r="G9" s="10">
        <v>1</v>
      </c>
      <c r="H9" s="10">
        <v>1</v>
      </c>
      <c r="I9" s="10">
        <v>1</v>
      </c>
      <c r="J9" s="10">
        <v>1</v>
      </c>
      <c r="K9" s="16" t="s">
        <v>3</v>
      </c>
      <c r="L9" s="16" t="s">
        <v>339</v>
      </c>
      <c r="M9" s="16" t="s">
        <v>340</v>
      </c>
      <c r="N9" s="16" t="s">
        <v>329</v>
      </c>
      <c r="O9" s="10" t="s">
        <v>39</v>
      </c>
    </row>
    <row r="10" ht="33" spans="1:15">
      <c r="A10" s="4" t="s">
        <v>341</v>
      </c>
      <c r="B10" s="4" t="s">
        <v>342</v>
      </c>
      <c r="C10" s="10" t="s">
        <v>312</v>
      </c>
      <c r="D10" s="10" t="s">
        <v>3</v>
      </c>
      <c r="E10" s="10">
        <v>0.8</v>
      </c>
      <c r="F10" s="10">
        <v>0.8</v>
      </c>
      <c r="G10" s="10">
        <v>0.8</v>
      </c>
      <c r="H10" s="10">
        <v>0.8</v>
      </c>
      <c r="I10" s="10">
        <v>0.8</v>
      </c>
      <c r="J10" s="10">
        <v>1</v>
      </c>
      <c r="K10" s="16" t="s">
        <v>3</v>
      </c>
      <c r="L10" s="16" t="s">
        <v>343</v>
      </c>
      <c r="M10" s="16" t="s">
        <v>344</v>
      </c>
      <c r="N10" s="16" t="s">
        <v>345</v>
      </c>
      <c r="O10" s="10" t="s">
        <v>39</v>
      </c>
    </row>
    <row r="11" ht="33" spans="1:15">
      <c r="A11" s="4" t="s">
        <v>346</v>
      </c>
      <c r="B11" s="4" t="s">
        <v>347</v>
      </c>
      <c r="C11" s="10" t="s">
        <v>312</v>
      </c>
      <c r="D11" s="10" t="s">
        <v>3</v>
      </c>
      <c r="E11" s="10">
        <v>1</v>
      </c>
      <c r="F11" s="10">
        <v>1</v>
      </c>
      <c r="G11" s="10">
        <v>1</v>
      </c>
      <c r="H11" s="10">
        <v>1</v>
      </c>
      <c r="I11" s="10">
        <v>1</v>
      </c>
      <c r="J11" s="10">
        <v>1</v>
      </c>
      <c r="K11" s="16" t="s">
        <v>3</v>
      </c>
      <c r="L11" s="16" t="s">
        <v>348</v>
      </c>
      <c r="M11" s="16" t="s">
        <v>349</v>
      </c>
      <c r="N11" s="16" t="s">
        <v>350</v>
      </c>
      <c r="O11" s="10" t="s">
        <v>39</v>
      </c>
    </row>
    <row r="12" ht="16.5" spans="1:15">
      <c r="A12" s="4" t="s">
        <v>351</v>
      </c>
      <c r="B12" s="4" t="s">
        <v>352</v>
      </c>
      <c r="C12" s="10" t="s">
        <v>312</v>
      </c>
      <c r="D12" s="10" t="s">
        <v>3</v>
      </c>
      <c r="E12" s="10">
        <v>1</v>
      </c>
      <c r="F12" s="10">
        <v>1</v>
      </c>
      <c r="G12" s="10">
        <v>1</v>
      </c>
      <c r="H12" s="10">
        <v>1</v>
      </c>
      <c r="I12" s="10">
        <v>1</v>
      </c>
      <c r="J12" s="10">
        <v>1</v>
      </c>
      <c r="K12" s="16" t="s">
        <v>3</v>
      </c>
      <c r="L12" s="16" t="s">
        <v>353</v>
      </c>
      <c r="M12" s="16" t="s">
        <v>319</v>
      </c>
      <c r="N12" s="16" t="s">
        <v>354</v>
      </c>
      <c r="O12" s="10" t="s">
        <v>39</v>
      </c>
    </row>
    <row r="13" ht="33" spans="1:15">
      <c r="A13" s="4" t="s">
        <v>355</v>
      </c>
      <c r="B13" s="4" t="s">
        <v>356</v>
      </c>
      <c r="C13" s="10" t="s">
        <v>312</v>
      </c>
      <c r="D13" s="10" t="s">
        <v>3</v>
      </c>
      <c r="E13" s="10">
        <v>1</v>
      </c>
      <c r="F13" s="10">
        <v>1</v>
      </c>
      <c r="G13" s="10">
        <v>0.8</v>
      </c>
      <c r="H13" s="10">
        <v>0.8</v>
      </c>
      <c r="I13" s="10">
        <v>1</v>
      </c>
      <c r="J13" s="10">
        <v>1</v>
      </c>
      <c r="K13" s="16" t="s">
        <v>3</v>
      </c>
      <c r="L13" s="16" t="s">
        <v>313</v>
      </c>
      <c r="M13" s="16" t="s">
        <v>357</v>
      </c>
      <c r="N13" s="16" t="s">
        <v>358</v>
      </c>
      <c r="O13" s="10" t="s">
        <v>39</v>
      </c>
    </row>
    <row r="14" ht="33" spans="1:15">
      <c r="A14" s="4" t="s">
        <v>359</v>
      </c>
      <c r="B14" s="4" t="s">
        <v>360</v>
      </c>
      <c r="C14" s="10" t="s">
        <v>312</v>
      </c>
      <c r="D14" s="10" t="s">
        <v>3</v>
      </c>
      <c r="E14" s="10">
        <v>1</v>
      </c>
      <c r="F14" s="10">
        <v>1</v>
      </c>
      <c r="G14" s="10">
        <v>1</v>
      </c>
      <c r="H14" s="10">
        <v>1</v>
      </c>
      <c r="I14" s="10">
        <v>1</v>
      </c>
      <c r="J14" s="10">
        <v>1</v>
      </c>
      <c r="K14" s="16" t="s">
        <v>3</v>
      </c>
      <c r="L14" s="16" t="s">
        <v>361</v>
      </c>
      <c r="M14" s="16" t="s">
        <v>319</v>
      </c>
      <c r="N14" s="16" t="s">
        <v>362</v>
      </c>
      <c r="O14" s="10" t="s">
        <v>39</v>
      </c>
    </row>
    <row r="15" ht="33" spans="1:15">
      <c r="A15" s="4" t="s">
        <v>363</v>
      </c>
      <c r="B15" s="4" t="s">
        <v>364</v>
      </c>
      <c r="C15" s="10" t="s">
        <v>312</v>
      </c>
      <c r="D15" s="10" t="s">
        <v>3</v>
      </c>
      <c r="E15" s="10">
        <v>1</v>
      </c>
      <c r="F15" s="10">
        <v>1</v>
      </c>
      <c r="G15" s="10">
        <v>1</v>
      </c>
      <c r="H15" s="10">
        <v>1</v>
      </c>
      <c r="I15" s="10">
        <v>1</v>
      </c>
      <c r="J15" s="10">
        <v>1</v>
      </c>
      <c r="K15" s="16" t="s">
        <v>3</v>
      </c>
      <c r="L15" s="16" t="s">
        <v>365</v>
      </c>
      <c r="M15" s="16" t="s">
        <v>319</v>
      </c>
      <c r="N15" s="16" t="s">
        <v>320</v>
      </c>
      <c r="O15" s="10" t="s">
        <v>39</v>
      </c>
    </row>
    <row r="16" ht="33" spans="1:15">
      <c r="A16" s="4" t="s">
        <v>366</v>
      </c>
      <c r="B16" s="4" t="s">
        <v>367</v>
      </c>
      <c r="C16" s="10" t="s">
        <v>312</v>
      </c>
      <c r="D16" s="10" t="s">
        <v>3</v>
      </c>
      <c r="E16" s="10">
        <v>1</v>
      </c>
      <c r="F16" s="10">
        <v>1</v>
      </c>
      <c r="G16" s="10">
        <v>1</v>
      </c>
      <c r="H16" s="10">
        <v>1</v>
      </c>
      <c r="I16" s="10">
        <v>1</v>
      </c>
      <c r="J16" s="10">
        <v>1</v>
      </c>
      <c r="K16" s="16" t="s">
        <v>3</v>
      </c>
      <c r="L16" s="16" t="s">
        <v>368</v>
      </c>
      <c r="M16" s="16" t="s">
        <v>319</v>
      </c>
      <c r="N16" s="16" t="s">
        <v>324</v>
      </c>
      <c r="O16" s="10" t="s">
        <v>39</v>
      </c>
    </row>
    <row r="17" ht="33" spans="1:15">
      <c r="A17" s="4" t="s">
        <v>369</v>
      </c>
      <c r="B17" s="4" t="s">
        <v>370</v>
      </c>
      <c r="C17" s="10" t="s">
        <v>312</v>
      </c>
      <c r="D17" s="10" t="s">
        <v>3</v>
      </c>
      <c r="E17" s="10">
        <v>0.8</v>
      </c>
      <c r="F17" s="10">
        <v>0.8</v>
      </c>
      <c r="G17" s="10">
        <v>0.8</v>
      </c>
      <c r="H17" s="10">
        <v>0.8</v>
      </c>
      <c r="I17" s="10">
        <v>0.8</v>
      </c>
      <c r="J17" s="10">
        <v>1</v>
      </c>
      <c r="K17" s="16" t="s">
        <v>3</v>
      </c>
      <c r="L17" s="16" t="s">
        <v>371</v>
      </c>
      <c r="M17" s="16" t="s">
        <v>372</v>
      </c>
      <c r="N17" s="16" t="s">
        <v>345</v>
      </c>
      <c r="O17" s="10" t="s">
        <v>39</v>
      </c>
    </row>
    <row r="18" ht="33" spans="1:15">
      <c r="A18" s="4" t="s">
        <v>373</v>
      </c>
      <c r="B18" s="4" t="s">
        <v>374</v>
      </c>
      <c r="C18" s="10" t="s">
        <v>312</v>
      </c>
      <c r="D18" s="10" t="s">
        <v>3</v>
      </c>
      <c r="E18" s="10">
        <v>1</v>
      </c>
      <c r="F18" s="10">
        <v>1</v>
      </c>
      <c r="G18" s="10">
        <v>0.8</v>
      </c>
      <c r="H18" s="10">
        <v>0.8</v>
      </c>
      <c r="I18" s="10">
        <v>1</v>
      </c>
      <c r="J18" s="10">
        <v>1</v>
      </c>
      <c r="K18" s="16" t="s">
        <v>3</v>
      </c>
      <c r="L18" s="16" t="s">
        <v>375</v>
      </c>
      <c r="M18" s="16" t="s">
        <v>314</v>
      </c>
      <c r="N18" s="16" t="s">
        <v>315</v>
      </c>
      <c r="O18" s="10" t="s">
        <v>39</v>
      </c>
    </row>
    <row r="19" ht="33" spans="1:15">
      <c r="A19" s="4" t="s">
        <v>376</v>
      </c>
      <c r="B19" s="4" t="s">
        <v>377</v>
      </c>
      <c r="C19" s="10" t="s">
        <v>312</v>
      </c>
      <c r="D19" s="10" t="s">
        <v>3</v>
      </c>
      <c r="E19" s="10">
        <v>0.8</v>
      </c>
      <c r="F19" s="10">
        <v>0.8</v>
      </c>
      <c r="G19" s="10">
        <v>1</v>
      </c>
      <c r="H19" s="10">
        <v>1</v>
      </c>
      <c r="I19" s="10">
        <v>0.8</v>
      </c>
      <c r="J19" s="10">
        <v>1</v>
      </c>
      <c r="K19" s="16" t="s">
        <v>3</v>
      </c>
      <c r="L19" s="16" t="s">
        <v>378</v>
      </c>
      <c r="M19" s="16" t="s">
        <v>333</v>
      </c>
      <c r="N19" s="16" t="s">
        <v>329</v>
      </c>
      <c r="O19" s="10" t="s">
        <v>39</v>
      </c>
    </row>
    <row r="20" ht="33" spans="1:15">
      <c r="A20" s="4" t="s">
        <v>379</v>
      </c>
      <c r="B20" s="4" t="s">
        <v>380</v>
      </c>
      <c r="C20" s="10" t="s">
        <v>312</v>
      </c>
      <c r="D20" s="10" t="s">
        <v>3</v>
      </c>
      <c r="E20" s="10">
        <v>1</v>
      </c>
      <c r="F20" s="10">
        <v>1</v>
      </c>
      <c r="G20" s="10">
        <v>1</v>
      </c>
      <c r="H20" s="10">
        <v>1</v>
      </c>
      <c r="I20" s="10">
        <v>1</v>
      </c>
      <c r="J20" s="10">
        <v>1</v>
      </c>
      <c r="K20" s="16" t="s">
        <v>3</v>
      </c>
      <c r="L20" s="16" t="s">
        <v>381</v>
      </c>
      <c r="M20" s="16" t="s">
        <v>319</v>
      </c>
      <c r="N20" s="16" t="s">
        <v>320</v>
      </c>
      <c r="O20" s="10" t="s">
        <v>39</v>
      </c>
    </row>
    <row r="21" ht="33" spans="1:15">
      <c r="A21" s="4" t="s">
        <v>382</v>
      </c>
      <c r="B21" s="4" t="s">
        <v>383</v>
      </c>
      <c r="C21" s="10" t="s">
        <v>312</v>
      </c>
      <c r="D21" s="10" t="s">
        <v>3</v>
      </c>
      <c r="E21" s="10">
        <v>1</v>
      </c>
      <c r="F21" s="10">
        <v>1</v>
      </c>
      <c r="G21" s="10">
        <v>1</v>
      </c>
      <c r="H21" s="10">
        <v>1</v>
      </c>
      <c r="I21" s="10">
        <v>1</v>
      </c>
      <c r="J21" s="10">
        <v>1</v>
      </c>
      <c r="K21" s="16" t="s">
        <v>3</v>
      </c>
      <c r="L21" s="16" t="s">
        <v>368</v>
      </c>
      <c r="M21" s="16" t="s">
        <v>384</v>
      </c>
      <c r="N21" s="16" t="s">
        <v>324</v>
      </c>
      <c r="O21" s="10" t="s">
        <v>39</v>
      </c>
    </row>
    <row r="22" ht="16.5" spans="1:15">
      <c r="A22" s="4" t="s">
        <v>385</v>
      </c>
      <c r="B22" s="4" t="s">
        <v>3</v>
      </c>
      <c r="C22" s="10" t="s">
        <v>312</v>
      </c>
      <c r="D22" s="10" t="s">
        <v>3</v>
      </c>
      <c r="E22" s="10">
        <v>1</v>
      </c>
      <c r="F22" s="10">
        <v>1</v>
      </c>
      <c r="G22" s="10">
        <v>1</v>
      </c>
      <c r="H22" s="10">
        <v>1</v>
      </c>
      <c r="I22" s="10">
        <v>1</v>
      </c>
      <c r="J22" s="10">
        <v>1</v>
      </c>
      <c r="K22" s="16" t="s">
        <v>3</v>
      </c>
      <c r="L22" s="16" t="s">
        <v>386</v>
      </c>
      <c r="M22" s="16" t="s">
        <v>387</v>
      </c>
      <c r="N22" s="16" t="s">
        <v>388</v>
      </c>
      <c r="O22" s="10" t="s">
        <v>39</v>
      </c>
    </row>
    <row r="23" ht="33" spans="1:15">
      <c r="A23" s="4" t="s">
        <v>389</v>
      </c>
      <c r="B23" s="4" t="s">
        <v>390</v>
      </c>
      <c r="C23" s="10" t="s">
        <v>312</v>
      </c>
      <c r="D23" s="10" t="s">
        <v>3</v>
      </c>
      <c r="E23" s="10">
        <v>1</v>
      </c>
      <c r="F23" s="10">
        <v>1</v>
      </c>
      <c r="G23" s="10">
        <v>1</v>
      </c>
      <c r="H23" s="10">
        <v>1</v>
      </c>
      <c r="I23" s="10">
        <v>1</v>
      </c>
      <c r="J23" s="10">
        <v>1</v>
      </c>
      <c r="K23" s="16" t="s">
        <v>3</v>
      </c>
      <c r="L23" s="16" t="s">
        <v>391</v>
      </c>
      <c r="M23" s="16" t="s">
        <v>328</v>
      </c>
      <c r="N23" s="16" t="s">
        <v>329</v>
      </c>
      <c r="O23" s="10" t="s">
        <v>39</v>
      </c>
    </row>
    <row r="24" ht="16.5" spans="1:15">
      <c r="A24" s="4" t="s">
        <v>392</v>
      </c>
      <c r="B24" s="4" t="s">
        <v>393</v>
      </c>
      <c r="C24" s="10" t="s">
        <v>312</v>
      </c>
      <c r="D24" s="10" t="s">
        <v>3</v>
      </c>
      <c r="E24" s="10">
        <v>0.8</v>
      </c>
      <c r="F24" s="10">
        <v>1</v>
      </c>
      <c r="G24" s="10">
        <v>1</v>
      </c>
      <c r="H24" s="10">
        <v>1</v>
      </c>
      <c r="I24" s="10">
        <v>1</v>
      </c>
      <c r="J24" s="10">
        <v>1</v>
      </c>
      <c r="K24" s="16" t="s">
        <v>3</v>
      </c>
      <c r="L24" s="16" t="s">
        <v>394</v>
      </c>
      <c r="M24" s="16" t="s">
        <v>395</v>
      </c>
      <c r="N24" s="16" t="s">
        <v>396</v>
      </c>
      <c r="O24" s="10" t="s">
        <v>39</v>
      </c>
    </row>
    <row r="25" ht="33" spans="1:15">
      <c r="A25" s="4" t="s">
        <v>397</v>
      </c>
      <c r="B25" s="4" t="s">
        <v>398</v>
      </c>
      <c r="C25" s="10" t="s">
        <v>312</v>
      </c>
      <c r="D25" s="10" t="s">
        <v>3</v>
      </c>
      <c r="E25" s="10">
        <v>1</v>
      </c>
      <c r="F25" s="10">
        <v>1</v>
      </c>
      <c r="G25" s="10">
        <v>1</v>
      </c>
      <c r="H25" s="10">
        <v>1</v>
      </c>
      <c r="I25" s="10">
        <v>1</v>
      </c>
      <c r="J25" s="10">
        <v>1</v>
      </c>
      <c r="K25" s="16" t="s">
        <v>3</v>
      </c>
      <c r="L25" s="16" t="s">
        <v>399</v>
      </c>
      <c r="M25" s="16" t="s">
        <v>400</v>
      </c>
      <c r="N25" s="16" t="s">
        <v>320</v>
      </c>
      <c r="O25" s="10" t="s">
        <v>39</v>
      </c>
    </row>
    <row r="26" ht="16.5" spans="1:15">
      <c r="A26" s="4" t="s">
        <v>401</v>
      </c>
      <c r="B26" s="4" t="s">
        <v>402</v>
      </c>
      <c r="C26" s="10" t="s">
        <v>312</v>
      </c>
      <c r="D26" s="10" t="s">
        <v>3</v>
      </c>
      <c r="E26" s="10">
        <v>1</v>
      </c>
      <c r="F26" s="10">
        <v>1</v>
      </c>
      <c r="G26" s="10">
        <v>1</v>
      </c>
      <c r="H26" s="10">
        <v>1</v>
      </c>
      <c r="I26" s="10">
        <v>1</v>
      </c>
      <c r="J26" s="10">
        <v>1</v>
      </c>
      <c r="K26" s="16" t="s">
        <v>3</v>
      </c>
      <c r="L26" s="16" t="s">
        <v>403</v>
      </c>
      <c r="M26" s="16" t="s">
        <v>404</v>
      </c>
      <c r="N26" s="16" t="s">
        <v>405</v>
      </c>
      <c r="O26" s="10" t="s">
        <v>39</v>
      </c>
    </row>
    <row r="27" ht="16.5" spans="1:15">
      <c r="A27" s="4" t="s">
        <v>406</v>
      </c>
      <c r="B27" s="4" t="s">
        <v>407</v>
      </c>
      <c r="C27" s="10" t="s">
        <v>312</v>
      </c>
      <c r="D27" s="10" t="s">
        <v>3</v>
      </c>
      <c r="E27" s="10">
        <v>1</v>
      </c>
      <c r="F27" s="10">
        <v>1</v>
      </c>
      <c r="G27" s="10">
        <v>1</v>
      </c>
      <c r="H27" s="10">
        <v>1</v>
      </c>
      <c r="I27" s="10">
        <v>1</v>
      </c>
      <c r="J27" s="10">
        <v>1</v>
      </c>
      <c r="K27" s="16" t="s">
        <v>3</v>
      </c>
      <c r="L27" s="16" t="s">
        <v>408</v>
      </c>
      <c r="M27" s="16" t="s">
        <v>384</v>
      </c>
      <c r="N27" s="16" t="s">
        <v>324</v>
      </c>
      <c r="O27" s="10" t="s">
        <v>39</v>
      </c>
    </row>
    <row r="28" ht="33" spans="1:15">
      <c r="A28" s="4" t="s">
        <v>409</v>
      </c>
      <c r="B28" s="4" t="s">
        <v>410</v>
      </c>
      <c r="C28" s="10" t="s">
        <v>312</v>
      </c>
      <c r="D28" s="10" t="s">
        <v>3</v>
      </c>
      <c r="E28" s="10">
        <v>1</v>
      </c>
      <c r="F28" s="10">
        <v>1</v>
      </c>
      <c r="G28" s="10">
        <v>0.8</v>
      </c>
      <c r="H28" s="10">
        <v>0.8</v>
      </c>
      <c r="I28" s="10">
        <v>1</v>
      </c>
      <c r="J28" s="10">
        <v>1</v>
      </c>
      <c r="K28" s="16" t="s">
        <v>3</v>
      </c>
      <c r="L28" s="16" t="s">
        <v>411</v>
      </c>
      <c r="M28" s="16" t="s">
        <v>357</v>
      </c>
      <c r="N28" s="16" t="s">
        <v>358</v>
      </c>
      <c r="O28" s="10" t="s">
        <v>39</v>
      </c>
    </row>
    <row r="29" ht="49.5" spans="1:15">
      <c r="A29" s="4" t="s">
        <v>412</v>
      </c>
      <c r="B29" s="4" t="s">
        <v>413</v>
      </c>
      <c r="C29" s="10" t="s">
        <v>312</v>
      </c>
      <c r="D29" s="10" t="s">
        <v>3</v>
      </c>
      <c r="E29" s="10">
        <v>1</v>
      </c>
      <c r="F29" s="10">
        <v>1</v>
      </c>
      <c r="G29" s="10">
        <v>1</v>
      </c>
      <c r="H29" s="10">
        <v>1</v>
      </c>
      <c r="I29" s="10">
        <v>1</v>
      </c>
      <c r="J29" s="10">
        <v>1</v>
      </c>
      <c r="K29" s="16" t="s">
        <v>3</v>
      </c>
      <c r="L29" s="16" t="s">
        <v>414</v>
      </c>
      <c r="M29" s="16" t="s">
        <v>415</v>
      </c>
      <c r="N29" s="16" t="s">
        <v>350</v>
      </c>
      <c r="O29" s="10" t="s">
        <v>39</v>
      </c>
    </row>
    <row r="30" ht="33" spans="1:15">
      <c r="A30" s="4" t="s">
        <v>416</v>
      </c>
      <c r="B30" s="4" t="s">
        <v>417</v>
      </c>
      <c r="C30" s="10" t="s">
        <v>312</v>
      </c>
      <c r="D30" s="10" t="s">
        <v>3</v>
      </c>
      <c r="E30" s="10">
        <v>0.8</v>
      </c>
      <c r="F30" s="10">
        <v>1</v>
      </c>
      <c r="G30" s="10">
        <v>1</v>
      </c>
      <c r="H30" s="10">
        <v>1</v>
      </c>
      <c r="I30" s="10">
        <v>1</v>
      </c>
      <c r="J30" s="10">
        <v>1</v>
      </c>
      <c r="K30" s="16" t="s">
        <v>3</v>
      </c>
      <c r="L30" s="16" t="s">
        <v>418</v>
      </c>
      <c r="M30" s="16" t="s">
        <v>419</v>
      </c>
      <c r="N30" s="16" t="s">
        <v>420</v>
      </c>
      <c r="O30" s="10" t="s">
        <v>39</v>
      </c>
    </row>
    <row r="31" ht="49.5" spans="1:15">
      <c r="A31" s="4" t="s">
        <v>421</v>
      </c>
      <c r="B31" s="4" t="s">
        <v>422</v>
      </c>
      <c r="C31" s="10" t="s">
        <v>312</v>
      </c>
      <c r="D31" s="10" t="s">
        <v>3</v>
      </c>
      <c r="E31" s="10">
        <v>1</v>
      </c>
      <c r="F31" s="10">
        <v>1</v>
      </c>
      <c r="G31" s="10">
        <v>1</v>
      </c>
      <c r="H31" s="10">
        <v>1</v>
      </c>
      <c r="I31" s="10">
        <v>1</v>
      </c>
      <c r="J31" s="10">
        <v>1</v>
      </c>
      <c r="K31" s="16" t="s">
        <v>3</v>
      </c>
      <c r="L31" s="16" t="s">
        <v>423</v>
      </c>
      <c r="M31" s="16" t="s">
        <v>340</v>
      </c>
      <c r="N31" s="16" t="s">
        <v>329</v>
      </c>
      <c r="O31" s="10" t="s">
        <v>39</v>
      </c>
    </row>
    <row r="32" ht="33" spans="1:15">
      <c r="A32" s="4" t="s">
        <v>424</v>
      </c>
      <c r="B32" s="4" t="s">
        <v>425</v>
      </c>
      <c r="C32" s="10" t="s">
        <v>312</v>
      </c>
      <c r="D32" s="10" t="s">
        <v>3</v>
      </c>
      <c r="E32" s="10">
        <v>1</v>
      </c>
      <c r="F32" s="10">
        <v>1</v>
      </c>
      <c r="G32" s="10">
        <v>1</v>
      </c>
      <c r="H32" s="10">
        <v>1</v>
      </c>
      <c r="I32" s="10">
        <v>1</v>
      </c>
      <c r="J32" s="10">
        <v>1</v>
      </c>
      <c r="K32" s="16" t="s">
        <v>3</v>
      </c>
      <c r="L32" s="16" t="s">
        <v>361</v>
      </c>
      <c r="M32" s="16" t="s">
        <v>319</v>
      </c>
      <c r="N32" s="16" t="s">
        <v>354</v>
      </c>
      <c r="O32" s="10" t="s">
        <v>39</v>
      </c>
    </row>
    <row r="33" ht="16.5" spans="1:15">
      <c r="A33" s="4" t="s">
        <v>426</v>
      </c>
      <c r="B33" s="4" t="s">
        <v>427</v>
      </c>
      <c r="C33" s="10" t="s">
        <v>312</v>
      </c>
      <c r="D33" s="10" t="s">
        <v>3</v>
      </c>
      <c r="E33" s="10">
        <v>0.8</v>
      </c>
      <c r="F33" s="10">
        <v>0.8</v>
      </c>
      <c r="G33" s="10">
        <v>0.8</v>
      </c>
      <c r="H33" s="10">
        <v>0.8</v>
      </c>
      <c r="I33" s="10">
        <v>1</v>
      </c>
      <c r="J33" s="10">
        <v>1</v>
      </c>
      <c r="K33" s="16" t="s">
        <v>3</v>
      </c>
      <c r="L33" s="16" t="s">
        <v>428</v>
      </c>
      <c r="M33" s="16" t="s">
        <v>429</v>
      </c>
      <c r="N33" s="16" t="s">
        <v>430</v>
      </c>
      <c r="O33" s="10" t="s">
        <v>39</v>
      </c>
    </row>
    <row r="34" ht="33" spans="1:15">
      <c r="A34" s="4" t="s">
        <v>431</v>
      </c>
      <c r="B34" s="4" t="s">
        <v>432</v>
      </c>
      <c r="C34" s="10" t="s">
        <v>312</v>
      </c>
      <c r="D34" s="10" t="s">
        <v>3</v>
      </c>
      <c r="E34" s="10">
        <v>0.8</v>
      </c>
      <c r="F34" s="10">
        <v>1</v>
      </c>
      <c r="G34" s="10">
        <v>0.65</v>
      </c>
      <c r="H34" s="10">
        <v>1</v>
      </c>
      <c r="I34" s="10">
        <v>1</v>
      </c>
      <c r="J34" s="10">
        <v>1</v>
      </c>
      <c r="K34" s="16" t="s">
        <v>433</v>
      </c>
      <c r="L34" s="16" t="s">
        <v>418</v>
      </c>
      <c r="M34" s="16" t="s">
        <v>419</v>
      </c>
      <c r="N34" s="16" t="s">
        <v>420</v>
      </c>
      <c r="O34" s="10" t="s">
        <v>39</v>
      </c>
    </row>
    <row r="35" ht="33" spans="1:15">
      <c r="A35" s="4" t="s">
        <v>434</v>
      </c>
      <c r="B35" s="4" t="s">
        <v>435</v>
      </c>
      <c r="C35" s="10" t="s">
        <v>312</v>
      </c>
      <c r="D35" s="10" t="s">
        <v>3</v>
      </c>
      <c r="E35" s="10">
        <v>1</v>
      </c>
      <c r="F35" s="10">
        <v>1</v>
      </c>
      <c r="G35" s="10">
        <v>1</v>
      </c>
      <c r="H35" s="10">
        <v>1</v>
      </c>
      <c r="I35" s="10">
        <v>1</v>
      </c>
      <c r="J35" s="10">
        <v>1</v>
      </c>
      <c r="K35" s="16" t="s">
        <v>3</v>
      </c>
      <c r="L35" s="16" t="s">
        <v>361</v>
      </c>
      <c r="M35" s="16" t="s">
        <v>319</v>
      </c>
      <c r="N35" s="16" t="s">
        <v>362</v>
      </c>
      <c r="O35" s="10" t="s">
        <v>39</v>
      </c>
    </row>
    <row r="36" ht="33" spans="1:15">
      <c r="A36" s="4" t="s">
        <v>436</v>
      </c>
      <c r="B36" s="4" t="s">
        <v>437</v>
      </c>
      <c r="C36" s="10" t="s">
        <v>312</v>
      </c>
      <c r="D36" s="10" t="s">
        <v>3</v>
      </c>
      <c r="E36" s="10">
        <v>0.8</v>
      </c>
      <c r="F36" s="10">
        <v>1</v>
      </c>
      <c r="G36" s="10">
        <v>0.65</v>
      </c>
      <c r="H36" s="10">
        <v>1</v>
      </c>
      <c r="I36" s="10">
        <v>1</v>
      </c>
      <c r="J36" s="10">
        <v>1</v>
      </c>
      <c r="K36" s="16" t="s">
        <v>433</v>
      </c>
      <c r="L36" s="16" t="s">
        <v>418</v>
      </c>
      <c r="M36" s="16" t="s">
        <v>438</v>
      </c>
      <c r="N36" s="16" t="s">
        <v>439</v>
      </c>
      <c r="O36" s="10" t="s">
        <v>39</v>
      </c>
    </row>
    <row r="37" ht="16.5" spans="1:15">
      <c r="A37" s="4" t="s">
        <v>440</v>
      </c>
      <c r="B37" s="4" t="s">
        <v>441</v>
      </c>
      <c r="C37" s="10" t="s">
        <v>312</v>
      </c>
      <c r="D37" s="10" t="s">
        <v>3</v>
      </c>
      <c r="E37" s="10">
        <v>1</v>
      </c>
      <c r="F37" s="10">
        <v>1</v>
      </c>
      <c r="G37" s="10">
        <v>1</v>
      </c>
      <c r="H37" s="10">
        <v>1</v>
      </c>
      <c r="I37" s="10">
        <v>1</v>
      </c>
      <c r="J37" s="10">
        <v>1</v>
      </c>
      <c r="K37" s="16" t="s">
        <v>3</v>
      </c>
      <c r="L37" s="16" t="s">
        <v>442</v>
      </c>
      <c r="M37" s="16" t="s">
        <v>387</v>
      </c>
      <c r="N37" s="16" t="s">
        <v>388</v>
      </c>
      <c r="O37" s="10" t="s">
        <v>39</v>
      </c>
    </row>
    <row r="38" ht="33" spans="1:15">
      <c r="A38" s="4" t="s">
        <v>443</v>
      </c>
      <c r="B38" s="4" t="s">
        <v>444</v>
      </c>
      <c r="C38" s="10" t="s">
        <v>312</v>
      </c>
      <c r="D38" s="10" t="s">
        <v>3</v>
      </c>
      <c r="E38" s="10">
        <v>1</v>
      </c>
      <c r="F38" s="10">
        <v>1</v>
      </c>
      <c r="G38" s="10">
        <v>0.8</v>
      </c>
      <c r="H38" s="10">
        <v>0.8</v>
      </c>
      <c r="I38" s="10">
        <v>1</v>
      </c>
      <c r="J38" s="10">
        <v>1</v>
      </c>
      <c r="K38" s="16" t="s">
        <v>3</v>
      </c>
      <c r="L38" s="16" t="s">
        <v>411</v>
      </c>
      <c r="M38" s="16" t="s">
        <v>445</v>
      </c>
      <c r="N38" s="16" t="s">
        <v>358</v>
      </c>
      <c r="O38" s="10" t="s">
        <v>39</v>
      </c>
    </row>
    <row r="39" ht="33" spans="1:15">
      <c r="A39" s="4" t="s">
        <v>446</v>
      </c>
      <c r="B39" s="4" t="s">
        <v>447</v>
      </c>
      <c r="C39" s="10" t="s">
        <v>312</v>
      </c>
      <c r="D39" s="10" t="s">
        <v>3</v>
      </c>
      <c r="E39" s="10">
        <v>1</v>
      </c>
      <c r="F39" s="10">
        <v>1</v>
      </c>
      <c r="G39" s="10">
        <v>0.8</v>
      </c>
      <c r="H39" s="10">
        <v>1</v>
      </c>
      <c r="I39" s="10">
        <v>0.8</v>
      </c>
      <c r="J39" s="10">
        <v>1</v>
      </c>
      <c r="K39" s="16" t="s">
        <v>3</v>
      </c>
      <c r="L39" s="16" t="s">
        <v>378</v>
      </c>
      <c r="M39" s="16" t="s">
        <v>448</v>
      </c>
      <c r="N39" s="16" t="s">
        <v>449</v>
      </c>
      <c r="O39" s="10" t="s">
        <v>39</v>
      </c>
    </row>
    <row r="40" ht="16.5" spans="1:15">
      <c r="A40" s="4" t="s">
        <v>450</v>
      </c>
      <c r="B40" s="4" t="s">
        <v>3</v>
      </c>
      <c r="C40" s="10" t="s">
        <v>312</v>
      </c>
      <c r="D40" s="10" t="s">
        <v>3</v>
      </c>
      <c r="E40" s="10">
        <v>0.8</v>
      </c>
      <c r="F40" s="10">
        <v>0.8</v>
      </c>
      <c r="G40" s="10">
        <v>0.8</v>
      </c>
      <c r="H40" s="10">
        <v>0.8</v>
      </c>
      <c r="I40" s="10">
        <v>0.8</v>
      </c>
      <c r="J40" s="10">
        <v>1</v>
      </c>
      <c r="K40" s="16" t="s">
        <v>3</v>
      </c>
      <c r="L40" s="16" t="s">
        <v>451</v>
      </c>
      <c r="M40" s="16" t="s">
        <v>452</v>
      </c>
      <c r="N40" s="16" t="s">
        <v>453</v>
      </c>
      <c r="O40" s="10" t="s">
        <v>39</v>
      </c>
    </row>
    <row r="41" ht="16.5" spans="1:15">
      <c r="A41" s="4" t="s">
        <v>454</v>
      </c>
      <c r="B41" s="4" t="s">
        <v>455</v>
      </c>
      <c r="C41" s="10" t="s">
        <v>312</v>
      </c>
      <c r="D41" s="10" t="s">
        <v>3</v>
      </c>
      <c r="E41" s="10">
        <v>1</v>
      </c>
      <c r="F41" s="10">
        <v>1</v>
      </c>
      <c r="G41" s="10">
        <v>1</v>
      </c>
      <c r="H41" s="10">
        <v>1</v>
      </c>
      <c r="I41" s="10">
        <v>1</v>
      </c>
      <c r="J41" s="10">
        <v>1</v>
      </c>
      <c r="K41" s="16" t="s">
        <v>3</v>
      </c>
      <c r="L41" s="16" t="s">
        <v>456</v>
      </c>
      <c r="M41" s="16" t="s">
        <v>457</v>
      </c>
      <c r="N41" s="16" t="s">
        <v>350</v>
      </c>
      <c r="O41" s="10" t="s">
        <v>458</v>
      </c>
    </row>
    <row r="42" ht="33" spans="1:15">
      <c r="A42" s="4" t="s">
        <v>459</v>
      </c>
      <c r="B42" s="4" t="s">
        <v>460</v>
      </c>
      <c r="C42" s="10" t="s">
        <v>461</v>
      </c>
      <c r="D42" s="10" t="s">
        <v>3</v>
      </c>
      <c r="E42" s="10">
        <v>1</v>
      </c>
      <c r="F42" s="10">
        <v>0.8</v>
      </c>
      <c r="G42" s="10">
        <v>0.8</v>
      </c>
      <c r="H42" s="10">
        <v>1</v>
      </c>
      <c r="I42" s="10">
        <v>1</v>
      </c>
      <c r="J42" s="10">
        <v>1</v>
      </c>
      <c r="K42" s="16" t="s">
        <v>3</v>
      </c>
      <c r="L42" s="16" t="s">
        <v>462</v>
      </c>
      <c r="M42" s="16" t="s">
        <v>463</v>
      </c>
      <c r="N42" s="16" t="s">
        <v>464</v>
      </c>
      <c r="O42" s="10" t="s">
        <v>39</v>
      </c>
    </row>
    <row r="43" ht="16.5" spans="1:15">
      <c r="A43" s="4" t="s">
        <v>465</v>
      </c>
      <c r="B43" s="4" t="s">
        <v>466</v>
      </c>
      <c r="C43" s="10" t="s">
        <v>461</v>
      </c>
      <c r="D43" s="10" t="s">
        <v>3</v>
      </c>
      <c r="E43" s="10">
        <v>0.8</v>
      </c>
      <c r="F43" s="10">
        <v>0.8</v>
      </c>
      <c r="G43" s="10">
        <v>1</v>
      </c>
      <c r="H43" s="10">
        <v>1</v>
      </c>
      <c r="I43" s="10">
        <v>0.8</v>
      </c>
      <c r="J43" s="10">
        <v>1</v>
      </c>
      <c r="K43" s="16" t="s">
        <v>3</v>
      </c>
      <c r="L43" s="16" t="s">
        <v>386</v>
      </c>
      <c r="M43" s="16" t="s">
        <v>319</v>
      </c>
      <c r="N43" s="16" t="s">
        <v>354</v>
      </c>
      <c r="O43" s="10" t="s">
        <v>39</v>
      </c>
    </row>
    <row r="44" ht="33" spans="1:15">
      <c r="A44" s="4" t="s">
        <v>467</v>
      </c>
      <c r="B44" s="4" t="s">
        <v>468</v>
      </c>
      <c r="C44" s="10" t="s">
        <v>461</v>
      </c>
      <c r="D44" s="10" t="s">
        <v>3</v>
      </c>
      <c r="E44" s="10">
        <v>0.8</v>
      </c>
      <c r="F44" s="10">
        <v>0.8</v>
      </c>
      <c r="G44" s="10">
        <v>1</v>
      </c>
      <c r="H44" s="10">
        <v>1</v>
      </c>
      <c r="I44" s="10">
        <v>0.8</v>
      </c>
      <c r="J44" s="10">
        <v>1</v>
      </c>
      <c r="K44" s="16" t="s">
        <v>3</v>
      </c>
      <c r="L44" s="16" t="s">
        <v>353</v>
      </c>
      <c r="M44" s="16" t="s">
        <v>469</v>
      </c>
      <c r="N44" s="16" t="s">
        <v>362</v>
      </c>
      <c r="O44" s="10" t="s">
        <v>39</v>
      </c>
    </row>
    <row r="45" ht="16.5" spans="1:15">
      <c r="A45" s="4" t="s">
        <v>470</v>
      </c>
      <c r="B45" s="4" t="s">
        <v>471</v>
      </c>
      <c r="C45" s="10" t="s">
        <v>461</v>
      </c>
      <c r="D45" s="10" t="s">
        <v>3</v>
      </c>
      <c r="E45" s="10">
        <v>0.8</v>
      </c>
      <c r="F45" s="10">
        <v>1</v>
      </c>
      <c r="G45" s="10">
        <v>0.65</v>
      </c>
      <c r="H45" s="10">
        <v>1</v>
      </c>
      <c r="I45" s="10">
        <v>1</v>
      </c>
      <c r="J45" s="10">
        <v>1</v>
      </c>
      <c r="K45" s="16" t="s">
        <v>433</v>
      </c>
      <c r="L45" s="16" t="s">
        <v>472</v>
      </c>
      <c r="M45" s="16" t="s">
        <v>473</v>
      </c>
      <c r="N45" s="16" t="s">
        <v>439</v>
      </c>
      <c r="O45" s="10" t="s">
        <v>39</v>
      </c>
    </row>
    <row r="46" ht="16.5" spans="1:15">
      <c r="A46" s="4" t="s">
        <v>474</v>
      </c>
      <c r="B46" s="4" t="s">
        <v>475</v>
      </c>
      <c r="C46" s="10" t="s">
        <v>461</v>
      </c>
      <c r="D46" s="10" t="s">
        <v>3</v>
      </c>
      <c r="E46" s="10">
        <v>0.8</v>
      </c>
      <c r="F46" s="10">
        <v>0.8</v>
      </c>
      <c r="G46" s="10">
        <v>1</v>
      </c>
      <c r="H46" s="10">
        <v>1</v>
      </c>
      <c r="I46" s="10">
        <v>0.8</v>
      </c>
      <c r="J46" s="10">
        <v>1</v>
      </c>
      <c r="K46" s="16" t="s">
        <v>3</v>
      </c>
      <c r="L46" s="16" t="s">
        <v>476</v>
      </c>
      <c r="M46" s="16" t="s">
        <v>319</v>
      </c>
      <c r="N46" s="16" t="s">
        <v>354</v>
      </c>
      <c r="O46" s="10" t="s">
        <v>39</v>
      </c>
    </row>
    <row r="47" ht="16.5" spans="1:15">
      <c r="A47" s="4" t="s">
        <v>477</v>
      </c>
      <c r="B47" s="4" t="s">
        <v>478</v>
      </c>
      <c r="C47" s="10" t="s">
        <v>461</v>
      </c>
      <c r="D47" s="10" t="s">
        <v>3</v>
      </c>
      <c r="E47" s="10">
        <v>1</v>
      </c>
      <c r="F47" s="10">
        <v>0.8</v>
      </c>
      <c r="G47" s="10">
        <v>0.8</v>
      </c>
      <c r="H47" s="10">
        <v>1</v>
      </c>
      <c r="I47" s="10">
        <v>1</v>
      </c>
      <c r="J47" s="10">
        <v>1</v>
      </c>
      <c r="K47" s="16" t="s">
        <v>3</v>
      </c>
      <c r="L47" s="16" t="s">
        <v>332</v>
      </c>
      <c r="M47" s="16" t="s">
        <v>479</v>
      </c>
      <c r="N47" s="16" t="s">
        <v>464</v>
      </c>
      <c r="O47" s="10" t="s">
        <v>39</v>
      </c>
    </row>
    <row r="48" ht="33" spans="1:15">
      <c r="A48" s="4" t="s">
        <v>480</v>
      </c>
      <c r="B48" s="4" t="s">
        <v>481</v>
      </c>
      <c r="C48" s="10" t="s">
        <v>461</v>
      </c>
      <c r="D48" s="10" t="s">
        <v>3</v>
      </c>
      <c r="E48" s="10">
        <v>1</v>
      </c>
      <c r="F48" s="10">
        <v>0.5</v>
      </c>
      <c r="G48" s="10">
        <v>1</v>
      </c>
      <c r="H48" s="10">
        <v>1</v>
      </c>
      <c r="I48" s="10">
        <v>1</v>
      </c>
      <c r="J48" s="10">
        <v>1</v>
      </c>
      <c r="K48" s="16" t="s">
        <v>3</v>
      </c>
      <c r="L48" s="16" t="s">
        <v>482</v>
      </c>
      <c r="M48" s="16" t="s">
        <v>483</v>
      </c>
      <c r="N48" s="16" t="s">
        <v>484</v>
      </c>
      <c r="O48" s="10" t="s">
        <v>39</v>
      </c>
    </row>
    <row r="49" ht="33" spans="1:15">
      <c r="A49" s="4" t="s">
        <v>485</v>
      </c>
      <c r="B49" s="4" t="s">
        <v>486</v>
      </c>
      <c r="C49" s="10" t="s">
        <v>461</v>
      </c>
      <c r="D49" s="10" t="s">
        <v>3</v>
      </c>
      <c r="E49" s="10">
        <v>0.6</v>
      </c>
      <c r="F49" s="10">
        <v>1</v>
      </c>
      <c r="G49" s="10">
        <v>1</v>
      </c>
      <c r="H49" s="10">
        <v>0.8</v>
      </c>
      <c r="I49" s="10">
        <v>0.8</v>
      </c>
      <c r="J49" s="10">
        <v>1</v>
      </c>
      <c r="K49" s="16" t="s">
        <v>487</v>
      </c>
      <c r="L49" s="16" t="s">
        <v>488</v>
      </c>
      <c r="M49" s="16" t="s">
        <v>489</v>
      </c>
      <c r="N49" s="16" t="s">
        <v>490</v>
      </c>
      <c r="O49" s="10" t="s">
        <v>39</v>
      </c>
    </row>
    <row r="50" ht="49.5" spans="1:15">
      <c r="A50" s="4" t="s">
        <v>491</v>
      </c>
      <c r="B50" s="4" t="s">
        <v>492</v>
      </c>
      <c r="C50" s="10" t="s">
        <v>461</v>
      </c>
      <c r="D50" s="10" t="s">
        <v>3</v>
      </c>
      <c r="E50" s="10">
        <v>1</v>
      </c>
      <c r="F50" s="10">
        <v>0.8</v>
      </c>
      <c r="G50" s="10">
        <v>0.8</v>
      </c>
      <c r="H50" s="10">
        <v>0.8</v>
      </c>
      <c r="I50" s="10">
        <v>0.8</v>
      </c>
      <c r="J50" s="10">
        <v>1</v>
      </c>
      <c r="K50" s="16" t="s">
        <v>3</v>
      </c>
      <c r="L50" s="16" t="s">
        <v>488</v>
      </c>
      <c r="M50" s="16" t="s">
        <v>493</v>
      </c>
      <c r="N50" s="16" t="s">
        <v>490</v>
      </c>
      <c r="O50" s="10" t="s">
        <v>39</v>
      </c>
    </row>
    <row r="51" ht="33" spans="1:15">
      <c r="A51" s="4" t="s">
        <v>494</v>
      </c>
      <c r="B51" s="4" t="s">
        <v>495</v>
      </c>
      <c r="C51" s="10" t="s">
        <v>461</v>
      </c>
      <c r="D51" s="10" t="s">
        <v>3</v>
      </c>
      <c r="E51" s="10">
        <v>1</v>
      </c>
      <c r="F51" s="10">
        <v>0.5</v>
      </c>
      <c r="G51" s="10">
        <v>1</v>
      </c>
      <c r="H51" s="10">
        <v>1</v>
      </c>
      <c r="I51" s="10">
        <v>1</v>
      </c>
      <c r="J51" s="10">
        <v>1</v>
      </c>
      <c r="K51" s="16" t="s">
        <v>3</v>
      </c>
      <c r="L51" s="16" t="s">
        <v>381</v>
      </c>
      <c r="M51" s="16" t="s">
        <v>496</v>
      </c>
      <c r="N51" s="16" t="s">
        <v>497</v>
      </c>
      <c r="O51" s="10" t="s">
        <v>39</v>
      </c>
    </row>
    <row r="52" ht="33" spans="1:15">
      <c r="A52" s="4" t="s">
        <v>498</v>
      </c>
      <c r="B52" s="4" t="s">
        <v>499</v>
      </c>
      <c r="C52" s="10" t="s">
        <v>461</v>
      </c>
      <c r="D52" s="10" t="s">
        <v>3</v>
      </c>
      <c r="E52" s="10">
        <v>0.8</v>
      </c>
      <c r="F52" s="10">
        <v>0.8</v>
      </c>
      <c r="G52" s="10">
        <v>1</v>
      </c>
      <c r="H52" s="10">
        <v>1</v>
      </c>
      <c r="I52" s="10">
        <v>0.8</v>
      </c>
      <c r="J52" s="10">
        <v>1</v>
      </c>
      <c r="K52" s="16" t="s">
        <v>3</v>
      </c>
      <c r="L52" s="16" t="s">
        <v>476</v>
      </c>
      <c r="M52" s="16" t="s">
        <v>469</v>
      </c>
      <c r="N52" s="16" t="s">
        <v>362</v>
      </c>
      <c r="O52" s="10" t="s">
        <v>39</v>
      </c>
    </row>
    <row r="53" ht="49.5" spans="1:15">
      <c r="A53" s="4" t="s">
        <v>500</v>
      </c>
      <c r="B53" s="4" t="s">
        <v>501</v>
      </c>
      <c r="C53" s="10" t="s">
        <v>461</v>
      </c>
      <c r="D53" s="10" t="s">
        <v>3</v>
      </c>
      <c r="E53" s="10">
        <v>1</v>
      </c>
      <c r="F53" s="10">
        <v>1</v>
      </c>
      <c r="G53" s="10">
        <v>1</v>
      </c>
      <c r="H53" s="10">
        <v>1</v>
      </c>
      <c r="I53" s="10">
        <v>0.7</v>
      </c>
      <c r="J53" s="10">
        <v>1</v>
      </c>
      <c r="K53" s="16" t="s">
        <v>502</v>
      </c>
      <c r="L53" s="16" t="s">
        <v>503</v>
      </c>
      <c r="M53" s="16" t="s">
        <v>504</v>
      </c>
      <c r="N53" s="16" t="s">
        <v>505</v>
      </c>
      <c r="O53" s="10" t="s">
        <v>39</v>
      </c>
    </row>
    <row r="54" ht="49.5" spans="1:15">
      <c r="A54" s="4" t="s">
        <v>506</v>
      </c>
      <c r="B54" s="4" t="s">
        <v>507</v>
      </c>
      <c r="C54" s="10" t="s">
        <v>508</v>
      </c>
      <c r="D54" s="10" t="s">
        <v>3</v>
      </c>
      <c r="E54" s="10">
        <v>1</v>
      </c>
      <c r="F54" s="10">
        <v>1</v>
      </c>
      <c r="G54" s="10">
        <v>1</v>
      </c>
      <c r="H54" s="10">
        <v>0.8</v>
      </c>
      <c r="I54" s="10">
        <v>0.8</v>
      </c>
      <c r="J54" s="10">
        <v>1</v>
      </c>
      <c r="K54" s="16" t="s">
        <v>3</v>
      </c>
      <c r="L54" s="16" t="s">
        <v>509</v>
      </c>
      <c r="M54" s="16" t="s">
        <v>510</v>
      </c>
      <c r="N54" s="16" t="s">
        <v>511</v>
      </c>
      <c r="O54" s="10" t="s">
        <v>39</v>
      </c>
    </row>
    <row r="55" ht="33" spans="1:15">
      <c r="A55" s="4" t="s">
        <v>512</v>
      </c>
      <c r="B55" s="4" t="s">
        <v>513</v>
      </c>
      <c r="C55" s="10" t="s">
        <v>508</v>
      </c>
      <c r="D55" s="10" t="s">
        <v>3</v>
      </c>
      <c r="E55" s="10">
        <v>1</v>
      </c>
      <c r="F55" s="10">
        <v>1</v>
      </c>
      <c r="G55" s="10">
        <v>0.8</v>
      </c>
      <c r="H55" s="10">
        <v>0.8</v>
      </c>
      <c r="I55" s="10">
        <v>1</v>
      </c>
      <c r="J55" s="10">
        <v>1</v>
      </c>
      <c r="K55" s="16" t="s">
        <v>3</v>
      </c>
      <c r="L55" s="16" t="s">
        <v>514</v>
      </c>
      <c r="M55" s="16" t="s">
        <v>515</v>
      </c>
      <c r="N55" s="16" t="s">
        <v>516</v>
      </c>
      <c r="O55" s="10" t="s">
        <v>39</v>
      </c>
    </row>
    <row r="56" ht="33" spans="1:15">
      <c r="A56" s="4" t="s">
        <v>517</v>
      </c>
      <c r="B56" s="4" t="s">
        <v>518</v>
      </c>
      <c r="C56" s="10" t="s">
        <v>508</v>
      </c>
      <c r="D56" s="10" t="s">
        <v>3</v>
      </c>
      <c r="E56" s="10">
        <v>1</v>
      </c>
      <c r="F56" s="10">
        <v>1</v>
      </c>
      <c r="G56" s="10">
        <v>1</v>
      </c>
      <c r="H56" s="10">
        <v>1</v>
      </c>
      <c r="I56" s="10">
        <v>1</v>
      </c>
      <c r="J56" s="10">
        <v>1</v>
      </c>
      <c r="K56" s="16" t="s">
        <v>3</v>
      </c>
      <c r="L56" s="16" t="s">
        <v>519</v>
      </c>
      <c r="M56" s="16" t="s">
        <v>520</v>
      </c>
      <c r="N56" s="16" t="s">
        <v>521</v>
      </c>
      <c r="O56" s="10" t="s">
        <v>39</v>
      </c>
    </row>
    <row r="57" ht="33" spans="1:15">
      <c r="A57" s="4" t="s">
        <v>522</v>
      </c>
      <c r="B57" s="4" t="s">
        <v>523</v>
      </c>
      <c r="C57" s="10" t="s">
        <v>508</v>
      </c>
      <c r="D57" s="10" t="s">
        <v>3</v>
      </c>
      <c r="E57" s="10">
        <v>1</v>
      </c>
      <c r="F57" s="10">
        <v>0.8</v>
      </c>
      <c r="G57" s="10">
        <v>0.8</v>
      </c>
      <c r="H57" s="10">
        <v>0.8</v>
      </c>
      <c r="I57" s="10">
        <v>0.8</v>
      </c>
      <c r="J57" s="10">
        <v>1</v>
      </c>
      <c r="K57" s="16" t="s">
        <v>3</v>
      </c>
      <c r="L57" s="16" t="s">
        <v>524</v>
      </c>
      <c r="M57" s="16" t="s">
        <v>525</v>
      </c>
      <c r="N57" s="16" t="s">
        <v>526</v>
      </c>
      <c r="O57" s="10" t="s">
        <v>39</v>
      </c>
    </row>
    <row r="58" ht="33" spans="1:15">
      <c r="A58" s="4" t="s">
        <v>527</v>
      </c>
      <c r="B58" s="4" t="s">
        <v>528</v>
      </c>
      <c r="C58" s="10" t="s">
        <v>508</v>
      </c>
      <c r="D58" s="10" t="s">
        <v>3</v>
      </c>
      <c r="E58" s="10">
        <v>1</v>
      </c>
      <c r="F58" s="10">
        <v>1</v>
      </c>
      <c r="G58" s="10">
        <v>1</v>
      </c>
      <c r="H58" s="10">
        <v>1</v>
      </c>
      <c r="I58" s="10">
        <v>1</v>
      </c>
      <c r="J58" s="10">
        <v>1</v>
      </c>
      <c r="K58" s="16" t="s">
        <v>3</v>
      </c>
      <c r="L58" s="16" t="s">
        <v>529</v>
      </c>
      <c r="M58" s="16" t="s">
        <v>530</v>
      </c>
      <c r="N58" s="16" t="s">
        <v>531</v>
      </c>
      <c r="O58" s="10" t="s">
        <v>39</v>
      </c>
    </row>
    <row r="59" ht="33" spans="1:15">
      <c r="A59" s="4" t="s">
        <v>532</v>
      </c>
      <c r="B59" s="4" t="s">
        <v>533</v>
      </c>
      <c r="C59" s="10" t="s">
        <v>508</v>
      </c>
      <c r="D59" s="10" t="s">
        <v>3</v>
      </c>
      <c r="E59" s="10">
        <v>1</v>
      </c>
      <c r="F59" s="10">
        <v>1</v>
      </c>
      <c r="G59" s="10">
        <v>1</v>
      </c>
      <c r="H59" s="10">
        <v>1</v>
      </c>
      <c r="I59" s="10">
        <v>1</v>
      </c>
      <c r="J59" s="10">
        <v>1</v>
      </c>
      <c r="K59" s="16" t="s">
        <v>3</v>
      </c>
      <c r="L59" s="16" t="s">
        <v>534</v>
      </c>
      <c r="M59" s="16" t="s">
        <v>520</v>
      </c>
      <c r="N59" s="16" t="s">
        <v>521</v>
      </c>
      <c r="O59" s="10" t="s">
        <v>39</v>
      </c>
    </row>
    <row r="60" ht="16.5" spans="1:15">
      <c r="A60" s="4" t="s">
        <v>535</v>
      </c>
      <c r="B60" s="4" t="s">
        <v>536</v>
      </c>
      <c r="C60" s="10" t="s">
        <v>508</v>
      </c>
      <c r="D60" s="10" t="s">
        <v>3</v>
      </c>
      <c r="E60" s="10">
        <v>1</v>
      </c>
      <c r="F60" s="10">
        <v>1</v>
      </c>
      <c r="G60" s="10">
        <v>0.8</v>
      </c>
      <c r="H60" s="10">
        <v>0.8</v>
      </c>
      <c r="I60" s="10">
        <v>1</v>
      </c>
      <c r="J60" s="10">
        <v>1</v>
      </c>
      <c r="K60" s="16" t="s">
        <v>3</v>
      </c>
      <c r="L60" s="16" t="s">
        <v>537</v>
      </c>
      <c r="M60" s="16" t="s">
        <v>515</v>
      </c>
      <c r="N60" s="16" t="s">
        <v>516</v>
      </c>
      <c r="O60" s="10" t="s">
        <v>39</v>
      </c>
    </row>
    <row r="61" ht="33" spans="1:15">
      <c r="A61" s="4" t="s">
        <v>538</v>
      </c>
      <c r="B61" s="4" t="s">
        <v>3</v>
      </c>
      <c r="C61" s="10" t="s">
        <v>508</v>
      </c>
      <c r="D61" s="10" t="s">
        <v>3</v>
      </c>
      <c r="E61" s="10">
        <v>1</v>
      </c>
      <c r="F61" s="10">
        <v>1</v>
      </c>
      <c r="G61" s="10">
        <v>1</v>
      </c>
      <c r="H61" s="10">
        <v>1</v>
      </c>
      <c r="I61" s="10">
        <v>1</v>
      </c>
      <c r="J61" s="10">
        <v>1</v>
      </c>
      <c r="K61" s="16" t="s">
        <v>3</v>
      </c>
      <c r="L61" s="16" t="s">
        <v>539</v>
      </c>
      <c r="M61" s="16" t="s">
        <v>540</v>
      </c>
      <c r="N61" s="16" t="s">
        <v>541</v>
      </c>
      <c r="O61" s="10" t="s">
        <v>39</v>
      </c>
    </row>
    <row r="62" ht="49.5" spans="1:15">
      <c r="A62" s="4" t="s">
        <v>542</v>
      </c>
      <c r="B62" s="4" t="s">
        <v>543</v>
      </c>
      <c r="C62" s="10" t="s">
        <v>508</v>
      </c>
      <c r="D62" s="10" t="s">
        <v>3</v>
      </c>
      <c r="E62" s="10">
        <v>0.8</v>
      </c>
      <c r="F62" s="10">
        <v>1</v>
      </c>
      <c r="G62" s="10">
        <v>0.8</v>
      </c>
      <c r="H62" s="10">
        <v>0.8</v>
      </c>
      <c r="I62" s="10">
        <v>0.8</v>
      </c>
      <c r="J62" s="10">
        <v>1</v>
      </c>
      <c r="K62" s="16" t="s">
        <v>3</v>
      </c>
      <c r="L62" s="16" t="s">
        <v>529</v>
      </c>
      <c r="M62" s="16" t="s">
        <v>544</v>
      </c>
      <c r="N62" s="16" t="s">
        <v>545</v>
      </c>
      <c r="O62" s="10" t="s">
        <v>39</v>
      </c>
    </row>
    <row r="63" ht="49.5" spans="1:15">
      <c r="A63" s="4" t="s">
        <v>546</v>
      </c>
      <c r="B63" s="4" t="s">
        <v>547</v>
      </c>
      <c r="C63" s="10" t="s">
        <v>508</v>
      </c>
      <c r="D63" s="10" t="s">
        <v>3</v>
      </c>
      <c r="E63" s="10">
        <v>0.8</v>
      </c>
      <c r="F63" s="10">
        <v>0.8</v>
      </c>
      <c r="G63" s="10">
        <v>1</v>
      </c>
      <c r="H63" s="10">
        <v>1</v>
      </c>
      <c r="I63" s="10">
        <v>0.8</v>
      </c>
      <c r="J63" s="10">
        <v>1</v>
      </c>
      <c r="K63" s="16" t="s">
        <v>3</v>
      </c>
      <c r="L63" s="16" t="s">
        <v>3</v>
      </c>
      <c r="M63" s="16" t="s">
        <v>548</v>
      </c>
      <c r="N63" s="16" t="s">
        <v>549</v>
      </c>
      <c r="O63" s="10" t="s">
        <v>39</v>
      </c>
    </row>
    <row r="64" ht="33" spans="1:15">
      <c r="A64" s="4" t="s">
        <v>550</v>
      </c>
      <c r="B64" s="4" t="s">
        <v>551</v>
      </c>
      <c r="C64" s="10" t="s">
        <v>508</v>
      </c>
      <c r="D64" s="10" t="s">
        <v>3</v>
      </c>
      <c r="E64" s="10">
        <v>0.8</v>
      </c>
      <c r="F64" s="10">
        <v>1</v>
      </c>
      <c r="G64" s="10">
        <v>1</v>
      </c>
      <c r="H64" s="10">
        <v>1</v>
      </c>
      <c r="I64" s="10">
        <v>1</v>
      </c>
      <c r="J64" s="10">
        <v>1</v>
      </c>
      <c r="K64" s="16" t="s">
        <v>3</v>
      </c>
      <c r="L64" s="16" t="s">
        <v>552</v>
      </c>
      <c r="M64" s="16" t="s">
        <v>553</v>
      </c>
      <c r="N64" s="16" t="s">
        <v>554</v>
      </c>
      <c r="O64" s="10" t="s">
        <v>39</v>
      </c>
    </row>
    <row r="65" ht="33" spans="1:15">
      <c r="A65" s="4" t="s">
        <v>555</v>
      </c>
      <c r="B65" s="4" t="s">
        <v>556</v>
      </c>
      <c r="C65" s="10" t="s">
        <v>508</v>
      </c>
      <c r="D65" s="10" t="s">
        <v>3</v>
      </c>
      <c r="E65" s="10">
        <v>0.8</v>
      </c>
      <c r="F65" s="10">
        <v>1</v>
      </c>
      <c r="G65" s="10">
        <v>0.65</v>
      </c>
      <c r="H65" s="10">
        <v>1</v>
      </c>
      <c r="I65" s="10">
        <v>1</v>
      </c>
      <c r="J65" s="10">
        <v>1</v>
      </c>
      <c r="K65" s="16" t="s">
        <v>433</v>
      </c>
      <c r="L65" s="16" t="s">
        <v>557</v>
      </c>
      <c r="M65" s="16" t="s">
        <v>558</v>
      </c>
      <c r="N65" s="16" t="s">
        <v>554</v>
      </c>
      <c r="O65" s="10" t="s">
        <v>39</v>
      </c>
    </row>
    <row r="66" ht="49.5" spans="1:15">
      <c r="A66" s="4" t="s">
        <v>559</v>
      </c>
      <c r="B66" s="4" t="s">
        <v>560</v>
      </c>
      <c r="C66" s="10" t="s">
        <v>508</v>
      </c>
      <c r="D66" s="10" t="s">
        <v>3</v>
      </c>
      <c r="E66" s="10">
        <v>0.8</v>
      </c>
      <c r="F66" s="10">
        <v>1</v>
      </c>
      <c r="G66" s="10">
        <v>0.65</v>
      </c>
      <c r="H66" s="10">
        <v>1</v>
      </c>
      <c r="I66" s="10">
        <v>1</v>
      </c>
      <c r="J66" s="10">
        <v>1</v>
      </c>
      <c r="K66" s="16" t="s">
        <v>433</v>
      </c>
      <c r="L66" s="16" t="s">
        <v>561</v>
      </c>
      <c r="M66" s="16" t="s">
        <v>562</v>
      </c>
      <c r="N66" s="16" t="s">
        <v>439</v>
      </c>
      <c r="O66" s="10" t="s">
        <v>39</v>
      </c>
    </row>
    <row r="67" ht="49.5" spans="1:15">
      <c r="A67" s="4" t="s">
        <v>563</v>
      </c>
      <c r="B67" s="4" t="s">
        <v>564</v>
      </c>
      <c r="C67" s="10" t="s">
        <v>508</v>
      </c>
      <c r="D67" s="10" t="s">
        <v>3</v>
      </c>
      <c r="E67" s="10">
        <v>0.8</v>
      </c>
      <c r="F67" s="10">
        <v>0.8</v>
      </c>
      <c r="G67" s="10">
        <v>0.8</v>
      </c>
      <c r="H67" s="10">
        <v>0.8</v>
      </c>
      <c r="I67" s="10">
        <v>1</v>
      </c>
      <c r="J67" s="10">
        <v>1</v>
      </c>
      <c r="K67" s="16" t="s">
        <v>3</v>
      </c>
      <c r="L67" s="16" t="s">
        <v>428</v>
      </c>
      <c r="M67" s="16" t="s">
        <v>565</v>
      </c>
      <c r="N67" s="16" t="s">
        <v>566</v>
      </c>
      <c r="O67" s="10" t="s">
        <v>39</v>
      </c>
    </row>
    <row r="68" ht="33" spans="1:15">
      <c r="A68" s="4" t="s">
        <v>567</v>
      </c>
      <c r="B68" s="4" t="s">
        <v>568</v>
      </c>
      <c r="C68" s="10" t="s">
        <v>508</v>
      </c>
      <c r="D68" s="10" t="s">
        <v>3</v>
      </c>
      <c r="E68" s="10">
        <v>1</v>
      </c>
      <c r="F68" s="10">
        <v>0.8</v>
      </c>
      <c r="G68" s="10">
        <v>0.8</v>
      </c>
      <c r="H68" s="10">
        <v>0.8</v>
      </c>
      <c r="I68" s="10">
        <v>0.8</v>
      </c>
      <c r="J68" s="10">
        <v>1</v>
      </c>
      <c r="K68" s="16" t="s">
        <v>3</v>
      </c>
      <c r="L68" s="16" t="s">
        <v>569</v>
      </c>
      <c r="M68" s="16" t="s">
        <v>525</v>
      </c>
      <c r="N68" s="16" t="s">
        <v>526</v>
      </c>
      <c r="O68" s="10" t="s">
        <v>39</v>
      </c>
    </row>
    <row r="69" ht="16.5" spans="1:15">
      <c r="A69" s="4" t="s">
        <v>570</v>
      </c>
      <c r="B69" s="4" t="s">
        <v>571</v>
      </c>
      <c r="C69" s="10" t="s">
        <v>508</v>
      </c>
      <c r="D69" s="10" t="s">
        <v>3</v>
      </c>
      <c r="E69" s="10">
        <v>0.4</v>
      </c>
      <c r="F69" s="10">
        <v>1</v>
      </c>
      <c r="G69" s="10">
        <v>1</v>
      </c>
      <c r="H69" s="10">
        <v>0.8</v>
      </c>
      <c r="I69" s="10">
        <v>0.8</v>
      </c>
      <c r="J69" s="10">
        <v>1</v>
      </c>
      <c r="K69" s="16" t="s">
        <v>572</v>
      </c>
      <c r="L69" s="16" t="s">
        <v>573</v>
      </c>
      <c r="M69" s="16" t="s">
        <v>489</v>
      </c>
      <c r="N69" s="16" t="s">
        <v>490</v>
      </c>
      <c r="O69" s="10" t="s">
        <v>39</v>
      </c>
    </row>
    <row r="70" ht="33" spans="1:15">
      <c r="A70" s="4" t="s">
        <v>574</v>
      </c>
      <c r="B70" s="4" t="s">
        <v>575</v>
      </c>
      <c r="C70" s="10" t="s">
        <v>508</v>
      </c>
      <c r="D70" s="10" t="s">
        <v>3</v>
      </c>
      <c r="E70" s="10">
        <v>1</v>
      </c>
      <c r="F70" s="10">
        <v>1</v>
      </c>
      <c r="G70" s="10">
        <v>1</v>
      </c>
      <c r="H70" s="10">
        <v>0.8</v>
      </c>
      <c r="I70" s="10">
        <v>0.8</v>
      </c>
      <c r="J70" s="10">
        <v>1</v>
      </c>
      <c r="K70" s="16" t="s">
        <v>3</v>
      </c>
      <c r="L70" s="16" t="s">
        <v>576</v>
      </c>
      <c r="M70" s="16" t="s">
        <v>577</v>
      </c>
      <c r="N70" s="16" t="s">
        <v>511</v>
      </c>
      <c r="O70" s="10" t="s">
        <v>39</v>
      </c>
    </row>
    <row r="71" ht="33" spans="1:15">
      <c r="A71" s="4" t="s">
        <v>578</v>
      </c>
      <c r="B71" s="4" t="s">
        <v>579</v>
      </c>
      <c r="C71" s="10" t="s">
        <v>508</v>
      </c>
      <c r="D71" s="10" t="s">
        <v>3</v>
      </c>
      <c r="E71" s="10">
        <v>1</v>
      </c>
      <c r="F71" s="10">
        <v>1</v>
      </c>
      <c r="G71" s="10">
        <v>1</v>
      </c>
      <c r="H71" s="10">
        <v>1</v>
      </c>
      <c r="I71" s="10">
        <v>1</v>
      </c>
      <c r="J71" s="10">
        <v>1</v>
      </c>
      <c r="K71" s="16" t="s">
        <v>3</v>
      </c>
      <c r="L71" s="16" t="s">
        <v>580</v>
      </c>
      <c r="M71" s="16" t="s">
        <v>530</v>
      </c>
      <c r="N71" s="16" t="s">
        <v>531</v>
      </c>
      <c r="O71" s="10" t="s">
        <v>39</v>
      </c>
    </row>
    <row r="72" ht="33" spans="1:15">
      <c r="A72" s="4" t="s">
        <v>581</v>
      </c>
      <c r="B72" s="4" t="s">
        <v>582</v>
      </c>
      <c r="C72" s="10" t="s">
        <v>508</v>
      </c>
      <c r="D72" s="10" t="s">
        <v>3</v>
      </c>
      <c r="E72" s="10">
        <v>1</v>
      </c>
      <c r="F72" s="10">
        <v>1</v>
      </c>
      <c r="G72" s="10">
        <v>0.8</v>
      </c>
      <c r="H72" s="10">
        <v>0.8</v>
      </c>
      <c r="I72" s="10">
        <v>0.8</v>
      </c>
      <c r="J72" s="10">
        <v>1</v>
      </c>
      <c r="K72" s="16" t="s">
        <v>3</v>
      </c>
      <c r="L72" s="16" t="s">
        <v>403</v>
      </c>
      <c r="M72" s="16" t="s">
        <v>583</v>
      </c>
      <c r="N72" s="16" t="s">
        <v>584</v>
      </c>
      <c r="O72" s="10" t="s">
        <v>39</v>
      </c>
    </row>
    <row r="73" ht="16.5" spans="1:15">
      <c r="A73" s="4" t="s">
        <v>585</v>
      </c>
      <c r="B73" s="4" t="s">
        <v>3</v>
      </c>
      <c r="C73" s="10" t="s">
        <v>508</v>
      </c>
      <c r="D73" s="10" t="s">
        <v>3</v>
      </c>
      <c r="E73" s="10">
        <v>0.8</v>
      </c>
      <c r="F73" s="10">
        <v>0.8</v>
      </c>
      <c r="G73" s="10">
        <v>1</v>
      </c>
      <c r="H73" s="10">
        <v>1</v>
      </c>
      <c r="I73" s="10">
        <v>0.8</v>
      </c>
      <c r="J73" s="10">
        <v>1</v>
      </c>
      <c r="K73" s="16" t="s">
        <v>3</v>
      </c>
      <c r="L73" s="16" t="s">
        <v>586</v>
      </c>
      <c r="M73" s="16" t="s">
        <v>587</v>
      </c>
      <c r="N73" s="16" t="s">
        <v>3</v>
      </c>
      <c r="O73" s="10" t="s">
        <v>39</v>
      </c>
    </row>
    <row r="74" ht="33" spans="1:15">
      <c r="A74" s="4" t="s">
        <v>588</v>
      </c>
      <c r="B74" s="4" t="s">
        <v>3</v>
      </c>
      <c r="C74" s="10" t="s">
        <v>589</v>
      </c>
      <c r="D74" s="10" t="s">
        <v>3</v>
      </c>
      <c r="E74" s="10">
        <v>1</v>
      </c>
      <c r="F74" s="10">
        <v>1</v>
      </c>
      <c r="G74" s="10">
        <v>0.8</v>
      </c>
      <c r="H74" s="10">
        <v>0.8</v>
      </c>
      <c r="I74" s="10">
        <v>0.8</v>
      </c>
      <c r="J74" s="10">
        <v>1</v>
      </c>
      <c r="K74" s="16" t="s">
        <v>3</v>
      </c>
      <c r="L74" s="16" t="s">
        <v>590</v>
      </c>
      <c r="M74" s="16" t="s">
        <v>591</v>
      </c>
      <c r="N74" s="16" t="s">
        <v>3</v>
      </c>
      <c r="O74" s="10" t="s">
        <v>39</v>
      </c>
    </row>
    <row r="75" ht="49.5" spans="1:15">
      <c r="A75" s="4" t="s">
        <v>592</v>
      </c>
      <c r="B75" s="4" t="s">
        <v>3</v>
      </c>
      <c r="C75" s="10" t="s">
        <v>589</v>
      </c>
      <c r="D75" s="10" t="s">
        <v>3</v>
      </c>
      <c r="E75" s="10">
        <v>0.8</v>
      </c>
      <c r="F75" s="10">
        <v>0.8</v>
      </c>
      <c r="G75" s="10">
        <v>0.8</v>
      </c>
      <c r="H75" s="10">
        <v>0.8</v>
      </c>
      <c r="I75" s="10">
        <v>1</v>
      </c>
      <c r="J75" s="10">
        <v>1</v>
      </c>
      <c r="K75" s="16" t="s">
        <v>3</v>
      </c>
      <c r="L75" s="16" t="s">
        <v>593</v>
      </c>
      <c r="M75" s="16" t="s">
        <v>594</v>
      </c>
      <c r="N75" s="16" t="s">
        <v>3</v>
      </c>
      <c r="O75" s="10" t="s">
        <v>39</v>
      </c>
    </row>
    <row r="76" ht="33" spans="1:15">
      <c r="A76" s="4" t="s">
        <v>595</v>
      </c>
      <c r="B76" s="4" t="s">
        <v>3</v>
      </c>
      <c r="C76" s="10" t="s">
        <v>589</v>
      </c>
      <c r="D76" s="10" t="s">
        <v>3</v>
      </c>
      <c r="E76" s="10">
        <v>1</v>
      </c>
      <c r="F76" s="10">
        <v>1</v>
      </c>
      <c r="G76" s="10">
        <v>1</v>
      </c>
      <c r="H76" s="10">
        <v>1</v>
      </c>
      <c r="I76" s="10">
        <v>1</v>
      </c>
      <c r="J76" s="10">
        <v>1</v>
      </c>
      <c r="K76" s="16" t="s">
        <v>3</v>
      </c>
      <c r="L76" s="16" t="s">
        <v>462</v>
      </c>
      <c r="M76" s="16" t="s">
        <v>596</v>
      </c>
      <c r="N76" s="16" t="s">
        <v>597</v>
      </c>
      <c r="O76" s="10" t="s">
        <v>39</v>
      </c>
    </row>
    <row r="77" ht="33" spans="1:15">
      <c r="A77" s="4" t="s">
        <v>598</v>
      </c>
      <c r="B77" s="4" t="s">
        <v>3</v>
      </c>
      <c r="C77" s="10" t="s">
        <v>589</v>
      </c>
      <c r="D77" s="10" t="s">
        <v>3</v>
      </c>
      <c r="E77" s="10">
        <v>0.8</v>
      </c>
      <c r="F77" s="10">
        <v>1</v>
      </c>
      <c r="G77" s="10">
        <v>0.65</v>
      </c>
      <c r="H77" s="10">
        <v>1</v>
      </c>
      <c r="I77" s="10">
        <v>1</v>
      </c>
      <c r="J77" s="10">
        <v>1</v>
      </c>
      <c r="K77" s="16" t="s">
        <v>433</v>
      </c>
      <c r="L77" s="16" t="s">
        <v>599</v>
      </c>
      <c r="M77" s="16" t="s">
        <v>600</v>
      </c>
      <c r="N77" s="16" t="s">
        <v>439</v>
      </c>
      <c r="O77" s="10" t="s">
        <v>39</v>
      </c>
    </row>
    <row r="78" ht="49.5" spans="1:15">
      <c r="A78" s="4" t="s">
        <v>601</v>
      </c>
      <c r="B78" s="4" t="s">
        <v>3</v>
      </c>
      <c r="C78" s="10" t="s">
        <v>589</v>
      </c>
      <c r="D78" s="10" t="s">
        <v>3</v>
      </c>
      <c r="E78" s="10">
        <v>1</v>
      </c>
      <c r="F78" s="10">
        <v>1</v>
      </c>
      <c r="G78" s="10">
        <v>0.8</v>
      </c>
      <c r="H78" s="10">
        <v>0.8</v>
      </c>
      <c r="I78" s="10">
        <v>1</v>
      </c>
      <c r="J78" s="10">
        <v>1</v>
      </c>
      <c r="K78" s="16" t="s">
        <v>3</v>
      </c>
      <c r="L78" s="16" t="s">
        <v>602</v>
      </c>
      <c r="M78" s="16" t="s">
        <v>603</v>
      </c>
      <c r="N78" s="16" t="s">
        <v>604</v>
      </c>
      <c r="O78" s="10" t="s">
        <v>39</v>
      </c>
    </row>
    <row r="79" ht="33" spans="1:15">
      <c r="A79" s="4" t="s">
        <v>605</v>
      </c>
      <c r="B79" s="4" t="s">
        <v>3</v>
      </c>
      <c r="C79" s="10" t="s">
        <v>589</v>
      </c>
      <c r="D79" s="10" t="s">
        <v>3</v>
      </c>
      <c r="E79" s="10">
        <v>0.8</v>
      </c>
      <c r="F79" s="10">
        <v>0.8</v>
      </c>
      <c r="G79" s="10">
        <v>1</v>
      </c>
      <c r="H79" s="10">
        <v>0.8</v>
      </c>
      <c r="I79" s="10">
        <v>0.8</v>
      </c>
      <c r="J79" s="10">
        <v>1</v>
      </c>
      <c r="K79" s="16" t="s">
        <v>3</v>
      </c>
      <c r="L79" s="16" t="s">
        <v>3</v>
      </c>
      <c r="M79" s="16" t="s">
        <v>606</v>
      </c>
      <c r="N79" s="16" t="s">
        <v>607</v>
      </c>
      <c r="O79" s="10" t="s">
        <v>39</v>
      </c>
    </row>
    <row r="80" ht="49.5" spans="1:15">
      <c r="A80" s="4" t="s">
        <v>608</v>
      </c>
      <c r="B80" s="4" t="s">
        <v>3</v>
      </c>
      <c r="C80" s="10" t="s">
        <v>609</v>
      </c>
      <c r="D80" s="10" t="s">
        <v>3</v>
      </c>
      <c r="E80" s="10">
        <v>1</v>
      </c>
      <c r="F80" s="10">
        <v>1</v>
      </c>
      <c r="G80" s="10">
        <v>1</v>
      </c>
      <c r="H80" s="10">
        <v>1</v>
      </c>
      <c r="I80" s="10">
        <v>1</v>
      </c>
      <c r="J80" s="10">
        <v>1</v>
      </c>
      <c r="K80" s="16" t="s">
        <v>3</v>
      </c>
      <c r="L80" s="16" t="s">
        <v>599</v>
      </c>
      <c r="M80" s="16" t="s">
        <v>610</v>
      </c>
      <c r="N80" s="16" t="s">
        <v>3</v>
      </c>
      <c r="O80" s="10" t="s">
        <v>39</v>
      </c>
    </row>
    <row r="81" ht="33" spans="1:15">
      <c r="A81" s="4" t="s">
        <v>611</v>
      </c>
      <c r="B81" s="4" t="s">
        <v>612</v>
      </c>
      <c r="C81" s="10" t="s">
        <v>609</v>
      </c>
      <c r="D81" s="10" t="s">
        <v>3</v>
      </c>
      <c r="E81" s="10">
        <v>1</v>
      </c>
      <c r="F81" s="10">
        <v>1</v>
      </c>
      <c r="G81" s="10">
        <v>1</v>
      </c>
      <c r="H81" s="10">
        <v>1</v>
      </c>
      <c r="I81" s="10">
        <v>1</v>
      </c>
      <c r="J81" s="10">
        <v>1</v>
      </c>
      <c r="K81" s="16" t="s">
        <v>3</v>
      </c>
      <c r="L81" s="16" t="s">
        <v>613</v>
      </c>
      <c r="M81" s="16" t="s">
        <v>614</v>
      </c>
      <c r="N81" s="16" t="s">
        <v>3</v>
      </c>
      <c r="O81" s="10" t="s">
        <v>39</v>
      </c>
    </row>
    <row r="82" ht="66" spans="1:15">
      <c r="A82" s="4" t="s">
        <v>615</v>
      </c>
      <c r="B82" s="4" t="s">
        <v>3</v>
      </c>
      <c r="C82" s="10" t="s">
        <v>609</v>
      </c>
      <c r="D82" s="10" t="s">
        <v>3</v>
      </c>
      <c r="E82" s="10">
        <v>1</v>
      </c>
      <c r="F82" s="10">
        <v>1</v>
      </c>
      <c r="G82" s="10">
        <v>0.8</v>
      </c>
      <c r="H82" s="10">
        <v>1</v>
      </c>
      <c r="I82" s="10">
        <v>0.8</v>
      </c>
      <c r="J82" s="10">
        <v>1</v>
      </c>
      <c r="K82" s="16" t="s">
        <v>3</v>
      </c>
      <c r="L82" s="16" t="s">
        <v>573</v>
      </c>
      <c r="M82" s="16" t="s">
        <v>616</v>
      </c>
      <c r="N82" s="16" t="s">
        <v>3</v>
      </c>
      <c r="O82" s="10" t="s">
        <v>39</v>
      </c>
    </row>
    <row r="83" ht="49.5" spans="1:15">
      <c r="A83" s="4" t="s">
        <v>617</v>
      </c>
      <c r="B83" s="4" t="s">
        <v>3</v>
      </c>
      <c r="C83" s="10" t="s">
        <v>609</v>
      </c>
      <c r="D83" s="10" t="s">
        <v>3</v>
      </c>
      <c r="E83" s="10">
        <v>1</v>
      </c>
      <c r="F83" s="10">
        <v>1</v>
      </c>
      <c r="G83" s="10">
        <v>1</v>
      </c>
      <c r="H83" s="10">
        <v>1</v>
      </c>
      <c r="I83" s="10">
        <v>1</v>
      </c>
      <c r="J83" s="10">
        <v>1</v>
      </c>
      <c r="K83" s="16" t="s">
        <v>3</v>
      </c>
      <c r="L83" s="16" t="s">
        <v>509</v>
      </c>
      <c r="M83" s="16" t="s">
        <v>618</v>
      </c>
      <c r="N83" s="16" t="s">
        <v>3</v>
      </c>
      <c r="O83" s="10" t="s">
        <v>39</v>
      </c>
    </row>
    <row r="84" ht="49.5" spans="1:15">
      <c r="A84" s="4" t="s">
        <v>619</v>
      </c>
      <c r="B84" s="4" t="s">
        <v>3</v>
      </c>
      <c r="C84" s="10" t="s">
        <v>609</v>
      </c>
      <c r="D84" s="10" t="s">
        <v>3</v>
      </c>
      <c r="E84" s="10">
        <v>1</v>
      </c>
      <c r="F84" s="10">
        <v>1</v>
      </c>
      <c r="G84" s="10">
        <v>1</v>
      </c>
      <c r="H84" s="10">
        <v>1</v>
      </c>
      <c r="I84" s="10">
        <v>1</v>
      </c>
      <c r="J84" s="10">
        <v>1</v>
      </c>
      <c r="K84" s="16" t="s">
        <v>3</v>
      </c>
      <c r="L84" s="16" t="s">
        <v>509</v>
      </c>
      <c r="M84" s="16" t="s">
        <v>620</v>
      </c>
      <c r="N84" s="16" t="s">
        <v>3</v>
      </c>
      <c r="O84" s="10" t="s">
        <v>39</v>
      </c>
    </row>
    <row r="85" ht="33" spans="1:15">
      <c r="A85" s="4" t="s">
        <v>621</v>
      </c>
      <c r="B85" s="4" t="s">
        <v>622</v>
      </c>
      <c r="C85" s="10" t="s">
        <v>609</v>
      </c>
      <c r="D85" s="10" t="s">
        <v>3</v>
      </c>
      <c r="E85" s="10">
        <v>1</v>
      </c>
      <c r="F85" s="10">
        <v>1</v>
      </c>
      <c r="G85" s="10">
        <v>1</v>
      </c>
      <c r="H85" s="10">
        <v>1</v>
      </c>
      <c r="I85" s="10">
        <v>1</v>
      </c>
      <c r="J85" s="10">
        <v>1</v>
      </c>
      <c r="K85" s="16" t="s">
        <v>3</v>
      </c>
      <c r="L85" s="16" t="s">
        <v>623</v>
      </c>
      <c r="M85" s="16" t="s">
        <v>624</v>
      </c>
      <c r="N85" s="16" t="s">
        <v>3</v>
      </c>
      <c r="O85" s="10" t="s">
        <v>39</v>
      </c>
    </row>
    <row r="86" ht="66" spans="1:15">
      <c r="A86" s="4" t="s">
        <v>625</v>
      </c>
      <c r="B86" s="4" t="s">
        <v>626</v>
      </c>
      <c r="C86" s="10" t="s">
        <v>609</v>
      </c>
      <c r="D86" s="10" t="s">
        <v>3</v>
      </c>
      <c r="E86" s="10">
        <v>0.8</v>
      </c>
      <c r="F86" s="10">
        <v>0.8</v>
      </c>
      <c r="G86" s="10">
        <v>1</v>
      </c>
      <c r="H86" s="10">
        <v>1</v>
      </c>
      <c r="I86" s="10">
        <v>0.8</v>
      </c>
      <c r="J86" s="10">
        <v>1</v>
      </c>
      <c r="K86" s="16" t="s">
        <v>3</v>
      </c>
      <c r="L86" s="16" t="s">
        <v>627</v>
      </c>
      <c r="M86" s="16" t="s">
        <v>628</v>
      </c>
      <c r="N86" s="16" t="s">
        <v>3</v>
      </c>
      <c r="O86" s="10" t="s">
        <v>39</v>
      </c>
    </row>
    <row r="87" ht="16.5" spans="1:15">
      <c r="A87" s="4" t="s">
        <v>629</v>
      </c>
      <c r="B87" s="4" t="s">
        <v>3</v>
      </c>
      <c r="C87" s="10" t="s">
        <v>609</v>
      </c>
      <c r="D87" s="10" t="s">
        <v>3</v>
      </c>
      <c r="E87" s="10">
        <v>1</v>
      </c>
      <c r="F87" s="10">
        <v>1</v>
      </c>
      <c r="G87" s="10">
        <v>1</v>
      </c>
      <c r="H87" s="10">
        <v>1</v>
      </c>
      <c r="I87" s="10">
        <v>1</v>
      </c>
      <c r="J87" s="10">
        <v>1</v>
      </c>
      <c r="K87" s="16" t="s">
        <v>3</v>
      </c>
      <c r="L87" s="16" t="s">
        <v>3</v>
      </c>
      <c r="M87" s="16" t="s">
        <v>3</v>
      </c>
      <c r="N87" s="16" t="s">
        <v>3</v>
      </c>
      <c r="O87" s="10" t="s">
        <v>39</v>
      </c>
    </row>
    <row r="88" ht="33" spans="1:15">
      <c r="A88" s="4" t="s">
        <v>630</v>
      </c>
      <c r="B88" s="4" t="s">
        <v>3</v>
      </c>
      <c r="C88" s="10" t="s">
        <v>609</v>
      </c>
      <c r="D88" s="10" t="s">
        <v>3</v>
      </c>
      <c r="E88" s="10">
        <v>1</v>
      </c>
      <c r="F88" s="10">
        <v>1</v>
      </c>
      <c r="G88" s="10">
        <v>1</v>
      </c>
      <c r="H88" s="10">
        <v>1</v>
      </c>
      <c r="I88" s="10">
        <v>1</v>
      </c>
      <c r="J88" s="10">
        <v>1</v>
      </c>
      <c r="K88" s="16" t="s">
        <v>3</v>
      </c>
      <c r="L88" s="16" t="s">
        <v>623</v>
      </c>
      <c r="M88" s="16" t="s">
        <v>631</v>
      </c>
      <c r="N88" s="16" t="s">
        <v>3</v>
      </c>
      <c r="O88" s="10" t="s">
        <v>39</v>
      </c>
    </row>
    <row r="90" spans="1:15">
      <c r="A90" s="9" t="s">
        <v>632</v>
      </c>
    </row>
  </sheetData>
  <autoFilter xmlns:etc="http://www.wps.cn/officeDocument/2017/etCustomData" ref="A2:O88" etc:filterBottomFollowUsedRange="0">
    <extLst/>
  </autoFilter>
  <mergeCells count="2">
    <mergeCell ref="A1:O1"/>
    <mergeCell ref="A90:O91"/>
  </mergeCells>
  <conditionalFormatting sqref="E3:E88">
    <cfRule type="cellIs" dxfId="2" priority="1" operator="lessThan">
      <formula>0.8</formula>
    </cfRule>
    <cfRule type="cellIs" dxfId="1" priority="2" operator="lessThan">
      <formula>1</formula>
    </cfRule>
  </conditionalFormatting>
  <conditionalFormatting sqref="F3:F88">
    <cfRule type="cellIs" dxfId="2" priority="3" operator="lessThan">
      <formula>0.8</formula>
    </cfRule>
    <cfRule type="cellIs" dxfId="1" priority="4" operator="lessThan">
      <formula>1</formula>
    </cfRule>
  </conditionalFormatting>
  <conditionalFormatting sqref="G3:G88">
    <cfRule type="cellIs" dxfId="2" priority="5" operator="lessThan">
      <formula>0.8</formula>
    </cfRule>
    <cfRule type="cellIs" dxfId="1" priority="6" operator="lessThan">
      <formula>1</formula>
    </cfRule>
  </conditionalFormatting>
  <conditionalFormatting sqref="H3:H88">
    <cfRule type="cellIs" dxfId="2" priority="7" operator="lessThan">
      <formula>0.8</formula>
    </cfRule>
    <cfRule type="cellIs" dxfId="1" priority="8" operator="lessThan">
      <formula>1</formula>
    </cfRule>
  </conditionalFormatting>
  <conditionalFormatting sqref="I3:I88">
    <cfRule type="cellIs" dxfId="2" priority="9" operator="lessThan">
      <formula>0.8</formula>
    </cfRule>
    <cfRule type="cellIs" dxfId="1" priority="10" operator="lessThan">
      <formula>1</formula>
    </cfRule>
  </conditionalFormatting>
  <conditionalFormatting sqref="J3:J88">
    <cfRule type="cellIs" dxfId="2" priority="11" operator="lessThan">
      <formula>0.8</formula>
    </cfRule>
    <cfRule type="cellIs" dxfId="1" priority="12" operator="lessThan">
      <formula>1</formula>
    </cfRule>
  </conditionalFormatting>
  <conditionalFormatting sqref="K3:K88">
    <cfRule type="cellIs" dxfId="2" priority="13" operator="notEqual">
      <formula>""</formula>
    </cfRule>
  </conditionalFormatting>
  <conditionalFormatting sqref="O3:O88">
    <cfRule type="cellIs" dxfId="0" priority="14" operator="equal">
      <formula>"实测"</formula>
    </cfRule>
    <cfRule type="cellIs" dxfId="1" priority="15" operator="equal">
      <formula>"待补录"</formula>
    </cfRule>
    <cfRule type="cellIs" dxfId="2" priority="16" operator="equal">
      <formula>"存疑"</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8"/>
  <sheetViews>
    <sheetView workbookViewId="0">
      <pane xSplit="2" ySplit="2" topLeftCell="C3" activePane="bottomRight" state="frozen"/>
      <selection/>
      <selection pane="topRight"/>
      <selection pane="bottomLeft"/>
      <selection pane="bottomRight" activeCell="AG2" sqref="AG$1:AG$1048576"/>
    </sheetView>
  </sheetViews>
  <sheetFormatPr defaultColWidth="9" defaultRowHeight="13.5"/>
  <cols>
    <col min="1" max="1" width="16" customWidth="1"/>
    <col min="2" max="8" width="11" customWidth="1"/>
    <col min="9" max="9" width="10" customWidth="1"/>
    <col min="10" max="10" width="11" customWidth="1"/>
    <col min="11" max="11" width="7" customWidth="1"/>
    <col min="12" max="13" width="12" customWidth="1"/>
    <col min="14" max="14" width="11" customWidth="1"/>
    <col min="15" max="15" width="14" customWidth="1"/>
    <col min="16" max="16" width="10" customWidth="1"/>
    <col min="17" max="17" width="13" customWidth="1"/>
    <col min="18" max="18" width="11" customWidth="1"/>
    <col min="19" max="19" width="13" customWidth="1"/>
    <col min="20" max="20" width="14" customWidth="1"/>
    <col min="21" max="21" width="10" customWidth="1"/>
    <col min="22" max="22" width="12" customWidth="1"/>
    <col min="23" max="23" width="11" customWidth="1"/>
    <col min="24" max="24" width="14" customWidth="1"/>
    <col min="25" max="25" width="16" customWidth="1"/>
    <col min="26" max="26" width="7" customWidth="1"/>
    <col min="27" max="29" width="10" customWidth="1"/>
    <col min="30" max="30" width="12" customWidth="1"/>
    <col min="31" max="31" width="11" customWidth="1"/>
    <col min="32" max="32" width="9" customWidth="1"/>
  </cols>
  <sheetData>
    <row r="1" ht="26" customHeight="1" spans="1:32">
      <c r="A1" s="1" t="s">
        <v>633</v>
      </c>
    </row>
    <row r="2" ht="30" customHeight="1" spans="1:32">
      <c r="A2" s="3" t="s">
        <v>296</v>
      </c>
      <c r="B2" s="3" t="s">
        <v>298</v>
      </c>
      <c r="C2" s="3" t="s">
        <v>634</v>
      </c>
      <c r="D2" s="3" t="s">
        <v>635</v>
      </c>
      <c r="E2" s="3" t="s">
        <v>636</v>
      </c>
      <c r="F2" s="3" t="s">
        <v>637</v>
      </c>
      <c r="G2" s="3" t="s">
        <v>638</v>
      </c>
      <c r="H2" s="3" t="s">
        <v>639</v>
      </c>
      <c r="I2" s="3" t="s">
        <v>640</v>
      </c>
      <c r="J2" s="3" t="s">
        <v>641</v>
      </c>
      <c r="K2" s="3" t="s">
        <v>95</v>
      </c>
      <c r="L2" s="3" t="s">
        <v>642</v>
      </c>
      <c r="M2" s="3" t="s">
        <v>643</v>
      </c>
      <c r="N2" s="3" t="s">
        <v>644</v>
      </c>
      <c r="O2" s="3" t="s">
        <v>645</v>
      </c>
      <c r="P2" s="3" t="s">
        <v>646</v>
      </c>
      <c r="Q2" s="3" t="s">
        <v>647</v>
      </c>
      <c r="R2" s="3" t="s">
        <v>648</v>
      </c>
      <c r="S2" s="3" t="s">
        <v>649</v>
      </c>
      <c r="T2" s="3" t="s">
        <v>650</v>
      </c>
      <c r="U2" s="3" t="s">
        <v>651</v>
      </c>
      <c r="V2" s="3" t="s">
        <v>652</v>
      </c>
      <c r="W2" s="3" t="s">
        <v>653</v>
      </c>
      <c r="X2" s="3" t="s">
        <v>654</v>
      </c>
      <c r="Y2" s="3" t="s">
        <v>655</v>
      </c>
      <c r="Z2" s="3" t="s">
        <v>656</v>
      </c>
      <c r="AA2" s="3" t="s">
        <v>657</v>
      </c>
      <c r="AB2" s="3" t="s">
        <v>658</v>
      </c>
      <c r="AC2" s="3" t="s">
        <v>659</v>
      </c>
      <c r="AD2" s="3" t="s">
        <v>660</v>
      </c>
      <c r="AE2" s="3" t="s">
        <v>661</v>
      </c>
      <c r="AF2" s="3" t="s">
        <v>662</v>
      </c>
    </row>
    <row r="3" ht="16.5" spans="1:32">
      <c r="A3" s="4" t="s">
        <v>310</v>
      </c>
      <c r="B3" s="10" t="s">
        <v>312</v>
      </c>
      <c r="C3" s="25">
        <v>291</v>
      </c>
      <c r="D3" s="25">
        <v>2086</v>
      </c>
      <c r="E3" s="25">
        <v>13202</v>
      </c>
      <c r="F3" s="25">
        <v>51976</v>
      </c>
      <c r="G3" s="25">
        <v>125025</v>
      </c>
      <c r="H3" s="25">
        <v>231910</v>
      </c>
      <c r="I3" s="25">
        <v>30</v>
      </c>
      <c r="J3" s="25">
        <v>2079</v>
      </c>
      <c r="K3" s="25">
        <v>100</v>
      </c>
      <c r="L3" s="27">
        <f t="shared" ref="L3:L66" si="0">IF(OR(C3="",H3=""),"",H3/C3)</f>
        <v>796.941580756014</v>
      </c>
      <c r="M3" s="27">
        <f t="shared" ref="M3:M66" si="1">IF(OR(I3="",J3=""),"",J3/I3)</f>
        <v>69.3</v>
      </c>
      <c r="N3" s="10">
        <v>90</v>
      </c>
      <c r="O3" s="10">
        <v>6</v>
      </c>
      <c r="P3" s="10">
        <v>1</v>
      </c>
      <c r="Q3" s="10">
        <v>25</v>
      </c>
      <c r="R3" s="10">
        <v>0</v>
      </c>
      <c r="S3" s="10">
        <v>0</v>
      </c>
      <c r="T3" s="10">
        <v>5</v>
      </c>
      <c r="U3" s="10">
        <v>65</v>
      </c>
      <c r="V3" s="10">
        <v>79.3</v>
      </c>
      <c r="W3" s="10">
        <v>100</v>
      </c>
      <c r="X3" s="10">
        <v>1</v>
      </c>
      <c r="Y3" s="10">
        <v>3</v>
      </c>
      <c r="Z3" s="10">
        <v>1</v>
      </c>
      <c r="AA3" s="10">
        <v>2.1</v>
      </c>
      <c r="AB3" s="10">
        <v>1</v>
      </c>
      <c r="AC3" s="10">
        <v>0</v>
      </c>
      <c r="AD3" s="10">
        <v>0.5</v>
      </c>
      <c r="AE3" s="10">
        <v>10</v>
      </c>
      <c r="AF3" s="10">
        <v>1</v>
      </c>
    </row>
    <row r="4" ht="16.5" spans="1:32">
      <c r="A4" s="4" t="s">
        <v>316</v>
      </c>
      <c r="B4" s="10" t="s">
        <v>312</v>
      </c>
      <c r="C4" s="25">
        <v>291</v>
      </c>
      <c r="D4" s="25">
        <v>2086</v>
      </c>
      <c r="E4" s="25">
        <v>13202</v>
      </c>
      <c r="F4" s="25">
        <v>51976</v>
      </c>
      <c r="G4" s="25">
        <v>125025</v>
      </c>
      <c r="H4" s="25">
        <v>231910</v>
      </c>
      <c r="I4" s="25">
        <v>49</v>
      </c>
      <c r="J4" s="25">
        <v>3465</v>
      </c>
      <c r="K4" s="25">
        <v>100</v>
      </c>
      <c r="L4" s="27">
        <f t="shared" si="0"/>
        <v>796.941580756014</v>
      </c>
      <c r="M4" s="27">
        <f t="shared" si="1"/>
        <v>70.7142857142857</v>
      </c>
      <c r="N4" s="10">
        <v>110</v>
      </c>
      <c r="O4" s="10">
        <v>6</v>
      </c>
      <c r="P4" s="10">
        <v>1</v>
      </c>
      <c r="Q4" s="10">
        <v>25</v>
      </c>
      <c r="R4" s="10">
        <v>0</v>
      </c>
      <c r="S4" s="10">
        <v>0</v>
      </c>
      <c r="T4" s="10">
        <v>5</v>
      </c>
      <c r="U4" s="10">
        <v>65</v>
      </c>
      <c r="V4" s="10">
        <v>79.3</v>
      </c>
      <c r="W4" s="10">
        <v>100</v>
      </c>
      <c r="X4" s="10">
        <v>1</v>
      </c>
      <c r="Y4" s="10">
        <v>3</v>
      </c>
      <c r="Z4" s="10">
        <v>1</v>
      </c>
      <c r="AA4" s="10">
        <v>2.3</v>
      </c>
      <c r="AB4" s="10">
        <v>1</v>
      </c>
      <c r="AC4" s="10">
        <v>0</v>
      </c>
      <c r="AD4" s="10">
        <v>0.5</v>
      </c>
      <c r="AE4" s="10">
        <v>10</v>
      </c>
      <c r="AF4" s="10">
        <v>1</v>
      </c>
    </row>
    <row r="5" ht="16.5" spans="1:32">
      <c r="A5" s="4" t="s">
        <v>321</v>
      </c>
      <c r="B5" s="10" t="s">
        <v>312</v>
      </c>
      <c r="C5" s="25">
        <v>291</v>
      </c>
      <c r="D5" s="25">
        <v>2086</v>
      </c>
      <c r="E5" s="25">
        <v>13202</v>
      </c>
      <c r="F5" s="25">
        <v>51976</v>
      </c>
      <c r="G5" s="25">
        <v>125025</v>
      </c>
      <c r="H5" s="25">
        <v>231910</v>
      </c>
      <c r="I5" s="25">
        <v>43</v>
      </c>
      <c r="J5" s="25">
        <v>3003</v>
      </c>
      <c r="K5" s="25">
        <v>100</v>
      </c>
      <c r="L5" s="27">
        <f t="shared" si="0"/>
        <v>796.941580756014</v>
      </c>
      <c r="M5" s="27">
        <f t="shared" si="1"/>
        <v>69.8372093023256</v>
      </c>
      <c r="N5" s="10">
        <v>80</v>
      </c>
      <c r="O5" s="10">
        <v>6</v>
      </c>
      <c r="P5" s="10">
        <v>1</v>
      </c>
      <c r="Q5" s="10">
        <v>25</v>
      </c>
      <c r="R5" s="10">
        <v>0</v>
      </c>
      <c r="S5" s="10">
        <v>0</v>
      </c>
      <c r="T5" s="10">
        <v>5</v>
      </c>
      <c r="U5" s="10">
        <v>65</v>
      </c>
      <c r="V5" s="10">
        <v>79.3</v>
      </c>
      <c r="W5" s="10">
        <v>100</v>
      </c>
      <c r="X5" s="10">
        <v>1</v>
      </c>
      <c r="Y5" s="10">
        <v>3</v>
      </c>
      <c r="Z5" s="10">
        <v>1</v>
      </c>
      <c r="AA5" s="10">
        <v>2.3</v>
      </c>
      <c r="AB5" s="10">
        <v>1</v>
      </c>
      <c r="AC5" s="10">
        <v>0</v>
      </c>
      <c r="AD5" s="10">
        <v>0.5</v>
      </c>
      <c r="AE5" s="10">
        <v>10</v>
      </c>
      <c r="AF5" s="10">
        <v>1</v>
      </c>
    </row>
    <row r="6" ht="16.5" spans="1:32">
      <c r="A6" s="4" t="s">
        <v>325</v>
      </c>
      <c r="B6" s="10" t="s">
        <v>312</v>
      </c>
      <c r="C6" s="25">
        <v>277</v>
      </c>
      <c r="D6" s="25">
        <v>1987</v>
      </c>
      <c r="E6" s="25">
        <v>12574</v>
      </c>
      <c r="F6" s="25">
        <v>49501</v>
      </c>
      <c r="G6" s="25">
        <v>119071</v>
      </c>
      <c r="H6" s="25">
        <v>220867</v>
      </c>
      <c r="I6" s="25">
        <v>30</v>
      </c>
      <c r="J6" s="25">
        <v>2079</v>
      </c>
      <c r="K6" s="25">
        <v>100</v>
      </c>
      <c r="L6" s="27">
        <f t="shared" si="0"/>
        <v>797.353790613718</v>
      </c>
      <c r="M6" s="27">
        <f t="shared" si="1"/>
        <v>69.3</v>
      </c>
      <c r="N6" s="10">
        <v>60</v>
      </c>
      <c r="O6" s="10">
        <v>6</v>
      </c>
      <c r="P6" s="10">
        <v>1</v>
      </c>
      <c r="Q6" s="10">
        <v>25</v>
      </c>
      <c r="R6" s="10">
        <v>5</v>
      </c>
      <c r="S6" s="10">
        <v>0</v>
      </c>
      <c r="T6" s="10">
        <v>5</v>
      </c>
      <c r="U6" s="10">
        <v>65</v>
      </c>
      <c r="V6" s="10">
        <v>79.3</v>
      </c>
      <c r="W6" s="10">
        <v>100</v>
      </c>
      <c r="X6" s="10">
        <v>1</v>
      </c>
      <c r="Y6" s="10">
        <v>3</v>
      </c>
      <c r="Z6" s="10">
        <v>1</v>
      </c>
      <c r="AA6" s="10">
        <v>6</v>
      </c>
      <c r="AB6" s="10">
        <v>1</v>
      </c>
      <c r="AC6" s="10">
        <v>0</v>
      </c>
      <c r="AD6" s="10">
        <v>0.5</v>
      </c>
      <c r="AE6" s="10">
        <v>10</v>
      </c>
      <c r="AF6" s="10">
        <v>1</v>
      </c>
    </row>
    <row r="7" ht="16.5" spans="1:32">
      <c r="A7" s="4" t="s">
        <v>330</v>
      </c>
      <c r="B7" s="10" t="s">
        <v>312</v>
      </c>
      <c r="C7" s="25">
        <v>270</v>
      </c>
      <c r="D7" s="25">
        <v>1937</v>
      </c>
      <c r="E7" s="25">
        <v>12259</v>
      </c>
      <c r="F7" s="25">
        <v>48263</v>
      </c>
      <c r="G7" s="25">
        <v>116095</v>
      </c>
      <c r="H7" s="25">
        <v>215345</v>
      </c>
      <c r="I7" s="25">
        <v>30</v>
      </c>
      <c r="J7" s="25">
        <v>2079</v>
      </c>
      <c r="K7" s="25">
        <v>100</v>
      </c>
      <c r="L7" s="27">
        <f t="shared" si="0"/>
        <v>797.574074074074</v>
      </c>
      <c r="M7" s="27">
        <f t="shared" si="1"/>
        <v>69.3</v>
      </c>
      <c r="N7" s="10">
        <v>60</v>
      </c>
      <c r="O7" s="10">
        <v>6</v>
      </c>
      <c r="P7" s="10">
        <v>1</v>
      </c>
      <c r="Q7" s="10">
        <v>25</v>
      </c>
      <c r="R7" s="10">
        <v>5</v>
      </c>
      <c r="S7" s="10">
        <v>0</v>
      </c>
      <c r="T7" s="10">
        <v>5</v>
      </c>
      <c r="U7" s="10">
        <v>65</v>
      </c>
      <c r="V7" s="10">
        <v>79.3</v>
      </c>
      <c r="W7" s="10">
        <v>100</v>
      </c>
      <c r="X7" s="10">
        <v>1</v>
      </c>
      <c r="Y7" s="10">
        <v>3</v>
      </c>
      <c r="Z7" s="10">
        <v>1</v>
      </c>
      <c r="AA7" s="10">
        <v>6</v>
      </c>
      <c r="AB7" s="10">
        <v>1</v>
      </c>
      <c r="AC7" s="10">
        <v>0</v>
      </c>
      <c r="AD7" s="10">
        <v>0.5</v>
      </c>
      <c r="AE7" s="10">
        <v>10</v>
      </c>
      <c r="AF7" s="10">
        <v>1</v>
      </c>
    </row>
    <row r="8" ht="16.5" spans="1:32">
      <c r="A8" s="4" t="s">
        <v>334</v>
      </c>
      <c r="B8" s="10" t="s">
        <v>312</v>
      </c>
      <c r="C8" s="25">
        <v>263</v>
      </c>
      <c r="D8" s="25">
        <v>1888</v>
      </c>
      <c r="E8" s="25">
        <v>11945</v>
      </c>
      <c r="F8" s="25">
        <v>47026</v>
      </c>
      <c r="G8" s="25">
        <v>113118</v>
      </c>
      <c r="H8" s="25">
        <v>209823</v>
      </c>
      <c r="I8" s="25">
        <v>38</v>
      </c>
      <c r="J8" s="25">
        <v>2656</v>
      </c>
      <c r="K8" s="25">
        <v>100</v>
      </c>
      <c r="L8" s="27">
        <f t="shared" si="0"/>
        <v>797.80608365019</v>
      </c>
      <c r="M8" s="27">
        <f t="shared" si="1"/>
        <v>69.8947368421053</v>
      </c>
      <c r="N8" s="10">
        <v>110</v>
      </c>
      <c r="O8" s="10">
        <v>6</v>
      </c>
      <c r="P8" s="10">
        <v>1</v>
      </c>
      <c r="Q8" s="10">
        <v>25</v>
      </c>
      <c r="R8" s="10">
        <v>0</v>
      </c>
      <c r="S8" s="10">
        <v>0</v>
      </c>
      <c r="T8" s="10">
        <v>0</v>
      </c>
      <c r="U8" s="10">
        <v>65</v>
      </c>
      <c r="V8" s="10">
        <v>0</v>
      </c>
      <c r="W8" s="10">
        <v>100</v>
      </c>
      <c r="X8" s="10">
        <v>1</v>
      </c>
      <c r="Y8" s="10">
        <v>3</v>
      </c>
      <c r="Z8" s="10">
        <v>1</v>
      </c>
      <c r="AA8" s="10">
        <v>7</v>
      </c>
      <c r="AB8" s="10">
        <v>1</v>
      </c>
      <c r="AC8" s="10">
        <v>0</v>
      </c>
      <c r="AD8" s="10">
        <v>0.5</v>
      </c>
      <c r="AE8" s="10">
        <v>10</v>
      </c>
      <c r="AF8" s="10">
        <v>1</v>
      </c>
    </row>
    <row r="9" ht="16.5" spans="1:32">
      <c r="A9" s="4" t="s">
        <v>337</v>
      </c>
      <c r="B9" s="10" t="s">
        <v>312</v>
      </c>
      <c r="C9" s="25">
        <v>249</v>
      </c>
      <c r="D9" s="25">
        <v>1788</v>
      </c>
      <c r="E9" s="25">
        <v>11316</v>
      </c>
      <c r="F9" s="25">
        <v>44551</v>
      </c>
      <c r="G9" s="25">
        <v>107164</v>
      </c>
      <c r="H9" s="25">
        <v>198780</v>
      </c>
      <c r="I9" s="25">
        <v>30</v>
      </c>
      <c r="J9" s="25">
        <v>2079</v>
      </c>
      <c r="K9" s="25">
        <v>100</v>
      </c>
      <c r="L9" s="27">
        <f t="shared" si="0"/>
        <v>798.313253012048</v>
      </c>
      <c r="M9" s="27">
        <f t="shared" si="1"/>
        <v>69.3</v>
      </c>
      <c r="N9" s="10">
        <v>60</v>
      </c>
      <c r="O9" s="10">
        <v>6</v>
      </c>
      <c r="P9" s="10">
        <v>1</v>
      </c>
      <c r="Q9" s="10">
        <v>25</v>
      </c>
      <c r="R9" s="10">
        <v>5</v>
      </c>
      <c r="S9" s="10">
        <v>0</v>
      </c>
      <c r="T9" s="10">
        <v>0</v>
      </c>
      <c r="U9" s="10">
        <v>65</v>
      </c>
      <c r="V9" s="10">
        <v>0</v>
      </c>
      <c r="W9" s="10">
        <v>100</v>
      </c>
      <c r="X9" s="10">
        <v>1</v>
      </c>
      <c r="Y9" s="10">
        <v>3</v>
      </c>
      <c r="Z9" s="10">
        <v>1</v>
      </c>
      <c r="AA9" s="10">
        <v>6</v>
      </c>
      <c r="AB9" s="10">
        <v>1</v>
      </c>
      <c r="AC9" s="10">
        <v>0</v>
      </c>
      <c r="AD9" s="10">
        <v>0.5</v>
      </c>
      <c r="AE9" s="10">
        <v>10</v>
      </c>
      <c r="AF9" s="10">
        <v>1</v>
      </c>
    </row>
    <row r="10" ht="16.5" spans="1:32">
      <c r="A10" s="4" t="s">
        <v>341</v>
      </c>
      <c r="B10" s="10" t="s">
        <v>312</v>
      </c>
      <c r="C10" s="25">
        <v>249</v>
      </c>
      <c r="D10" s="25">
        <v>1788</v>
      </c>
      <c r="E10" s="25">
        <v>11316</v>
      </c>
      <c r="F10" s="25">
        <v>44551</v>
      </c>
      <c r="G10" s="25">
        <v>107164</v>
      </c>
      <c r="H10" s="25">
        <v>198780</v>
      </c>
      <c r="I10" s="25">
        <v>36</v>
      </c>
      <c r="J10" s="25">
        <v>2541</v>
      </c>
      <c r="K10" s="25">
        <v>100</v>
      </c>
      <c r="L10" s="27">
        <f t="shared" si="0"/>
        <v>798.313253012048</v>
      </c>
      <c r="M10" s="27">
        <f t="shared" si="1"/>
        <v>70.5833333333333</v>
      </c>
      <c r="N10" s="10">
        <v>100</v>
      </c>
      <c r="O10" s="10">
        <v>6</v>
      </c>
      <c r="P10" s="10">
        <v>1</v>
      </c>
      <c r="Q10" s="10">
        <v>25</v>
      </c>
      <c r="R10" s="10">
        <v>0</v>
      </c>
      <c r="S10" s="10">
        <v>0</v>
      </c>
      <c r="T10" s="10">
        <v>5</v>
      </c>
      <c r="U10" s="10">
        <v>65</v>
      </c>
      <c r="V10" s="10">
        <v>79.3</v>
      </c>
      <c r="W10" s="10">
        <v>100</v>
      </c>
      <c r="X10" s="10">
        <v>1</v>
      </c>
      <c r="Y10" s="10">
        <v>3</v>
      </c>
      <c r="Z10" s="10">
        <v>1</v>
      </c>
      <c r="AA10" s="10">
        <v>2.3</v>
      </c>
      <c r="AB10" s="10">
        <v>1</v>
      </c>
      <c r="AC10" s="10">
        <v>0</v>
      </c>
      <c r="AD10" s="10">
        <v>0.5</v>
      </c>
      <c r="AE10" s="10">
        <v>10</v>
      </c>
      <c r="AF10" s="10">
        <v>1</v>
      </c>
    </row>
    <row r="11" ht="16.5" spans="1:32">
      <c r="A11" s="4" t="s">
        <v>346</v>
      </c>
      <c r="B11" s="10" t="s">
        <v>312</v>
      </c>
      <c r="C11" s="25">
        <v>228</v>
      </c>
      <c r="D11" s="25">
        <v>1639</v>
      </c>
      <c r="E11" s="25">
        <v>10373</v>
      </c>
      <c r="F11" s="25">
        <v>40838</v>
      </c>
      <c r="G11" s="25">
        <v>98234</v>
      </c>
      <c r="H11" s="25">
        <v>182215</v>
      </c>
      <c r="I11" s="25">
        <v>39</v>
      </c>
      <c r="J11" s="25">
        <v>2772</v>
      </c>
      <c r="K11" s="25">
        <v>100</v>
      </c>
      <c r="L11" s="27">
        <f t="shared" si="0"/>
        <v>799.188596491228</v>
      </c>
      <c r="M11" s="27">
        <f t="shared" si="1"/>
        <v>71.0769230769231</v>
      </c>
      <c r="N11" s="10">
        <v>90</v>
      </c>
      <c r="O11" s="10">
        <v>6</v>
      </c>
      <c r="P11" s="10">
        <v>1</v>
      </c>
      <c r="Q11" s="10">
        <v>25</v>
      </c>
      <c r="R11" s="10">
        <v>0</v>
      </c>
      <c r="S11" s="10">
        <v>0</v>
      </c>
      <c r="T11" s="10">
        <v>0</v>
      </c>
      <c r="U11" s="10">
        <v>65</v>
      </c>
      <c r="V11" s="10">
        <v>0</v>
      </c>
      <c r="W11" s="10">
        <v>0</v>
      </c>
      <c r="X11" s="10">
        <v>0</v>
      </c>
      <c r="Y11" s="10">
        <v>0</v>
      </c>
      <c r="Z11" s="10">
        <v>1</v>
      </c>
      <c r="AA11" s="10">
        <v>2.1</v>
      </c>
      <c r="AB11" s="10">
        <v>1</v>
      </c>
      <c r="AC11" s="10">
        <v>0</v>
      </c>
      <c r="AD11" s="10">
        <v>0.5</v>
      </c>
      <c r="AE11" s="10">
        <v>10</v>
      </c>
      <c r="AF11" s="10">
        <v>1</v>
      </c>
    </row>
    <row r="12" ht="16.5" spans="1:32">
      <c r="A12" s="4" t="s">
        <v>351</v>
      </c>
      <c r="B12" s="10" t="s">
        <v>312</v>
      </c>
      <c r="C12" s="25">
        <v>208</v>
      </c>
      <c r="D12" s="25">
        <v>1490</v>
      </c>
      <c r="E12" s="25">
        <v>9430</v>
      </c>
      <c r="F12" s="25">
        <v>37126</v>
      </c>
      <c r="G12" s="25">
        <v>89303</v>
      </c>
      <c r="H12" s="25">
        <v>165650</v>
      </c>
      <c r="I12" s="25">
        <v>46</v>
      </c>
      <c r="J12" s="25">
        <v>3234</v>
      </c>
      <c r="K12" s="25">
        <v>100</v>
      </c>
      <c r="L12" s="27">
        <f t="shared" si="0"/>
        <v>796.394230769231</v>
      </c>
      <c r="M12" s="27">
        <f t="shared" si="1"/>
        <v>70.304347826087</v>
      </c>
      <c r="N12" s="10">
        <v>90</v>
      </c>
      <c r="O12" s="10">
        <v>6</v>
      </c>
      <c r="P12" s="10">
        <v>1</v>
      </c>
      <c r="Q12" s="10">
        <v>25</v>
      </c>
      <c r="R12" s="10">
        <v>0</v>
      </c>
      <c r="S12" s="10">
        <v>0</v>
      </c>
      <c r="T12" s="10">
        <v>5</v>
      </c>
      <c r="U12" s="10">
        <v>65</v>
      </c>
      <c r="V12" s="10">
        <v>79.3</v>
      </c>
      <c r="W12" s="10">
        <v>100</v>
      </c>
      <c r="X12" s="10">
        <v>1</v>
      </c>
      <c r="Y12" s="10">
        <v>3</v>
      </c>
      <c r="Z12" s="10">
        <v>1</v>
      </c>
      <c r="AA12" s="10">
        <v>2.1</v>
      </c>
      <c r="AB12" s="10">
        <v>1</v>
      </c>
      <c r="AC12" s="10">
        <v>0</v>
      </c>
      <c r="AD12" s="10">
        <v>0.5</v>
      </c>
      <c r="AE12" s="10">
        <v>10</v>
      </c>
      <c r="AF12" s="10">
        <v>1</v>
      </c>
    </row>
    <row r="13" ht="16.5" spans="1:32">
      <c r="A13" s="4" t="s">
        <v>355</v>
      </c>
      <c r="B13" s="10" t="s">
        <v>312</v>
      </c>
      <c r="C13" s="25">
        <v>208</v>
      </c>
      <c r="D13" s="25">
        <v>1490</v>
      </c>
      <c r="E13" s="25">
        <v>9430</v>
      </c>
      <c r="F13" s="25">
        <v>37126</v>
      </c>
      <c r="G13" s="25">
        <v>89303</v>
      </c>
      <c r="H13" s="25">
        <v>165650</v>
      </c>
      <c r="I13" s="25">
        <v>30</v>
      </c>
      <c r="J13" s="25">
        <v>2079</v>
      </c>
      <c r="K13" s="25">
        <v>100</v>
      </c>
      <c r="L13" s="27">
        <f t="shared" si="0"/>
        <v>796.394230769231</v>
      </c>
      <c r="M13" s="27">
        <f t="shared" si="1"/>
        <v>69.3</v>
      </c>
      <c r="N13" s="10">
        <v>90</v>
      </c>
      <c r="O13" s="10">
        <v>6</v>
      </c>
      <c r="P13" s="10">
        <v>1</v>
      </c>
      <c r="Q13" s="10">
        <v>25</v>
      </c>
      <c r="R13" s="10">
        <v>0</v>
      </c>
      <c r="S13" s="10">
        <v>0</v>
      </c>
      <c r="T13" s="10">
        <v>0</v>
      </c>
      <c r="U13" s="10">
        <v>65</v>
      </c>
      <c r="V13" s="10">
        <v>0</v>
      </c>
      <c r="W13" s="10">
        <v>100</v>
      </c>
      <c r="X13" s="10">
        <v>1</v>
      </c>
      <c r="Y13" s="10">
        <v>3</v>
      </c>
      <c r="Z13" s="10">
        <v>1</v>
      </c>
      <c r="AA13" s="10">
        <v>6</v>
      </c>
      <c r="AB13" s="10">
        <v>1</v>
      </c>
      <c r="AC13" s="10">
        <v>0</v>
      </c>
      <c r="AD13" s="10">
        <v>0.5</v>
      </c>
      <c r="AE13" s="10">
        <v>10</v>
      </c>
      <c r="AF13" s="10">
        <v>1</v>
      </c>
    </row>
    <row r="14" ht="16.5" spans="1:32">
      <c r="A14" s="4" t="s">
        <v>359</v>
      </c>
      <c r="B14" s="10" t="s">
        <v>312</v>
      </c>
      <c r="C14" s="25">
        <v>208</v>
      </c>
      <c r="D14" s="25">
        <v>1490</v>
      </c>
      <c r="E14" s="25">
        <v>9430</v>
      </c>
      <c r="F14" s="25">
        <v>37126</v>
      </c>
      <c r="G14" s="25">
        <v>89303</v>
      </c>
      <c r="H14" s="25">
        <v>165650</v>
      </c>
      <c r="I14" s="25">
        <v>36</v>
      </c>
      <c r="J14" s="25">
        <v>2541</v>
      </c>
      <c r="K14" s="25">
        <v>100</v>
      </c>
      <c r="L14" s="27">
        <f t="shared" si="0"/>
        <v>796.394230769231</v>
      </c>
      <c r="M14" s="27">
        <f t="shared" si="1"/>
        <v>70.5833333333333</v>
      </c>
      <c r="N14" s="10">
        <v>90</v>
      </c>
      <c r="O14" s="10">
        <v>6</v>
      </c>
      <c r="P14" s="10">
        <v>1</v>
      </c>
      <c r="Q14" s="10">
        <v>25</v>
      </c>
      <c r="R14" s="10">
        <v>0</v>
      </c>
      <c r="S14" s="10">
        <v>0</v>
      </c>
      <c r="T14" s="10">
        <v>0</v>
      </c>
      <c r="U14" s="10">
        <v>65</v>
      </c>
      <c r="V14" s="10">
        <v>0</v>
      </c>
      <c r="W14" s="10">
        <v>100</v>
      </c>
      <c r="X14" s="10">
        <v>1</v>
      </c>
      <c r="Y14" s="10">
        <v>3</v>
      </c>
      <c r="Z14" s="10">
        <v>1</v>
      </c>
      <c r="AA14" s="10">
        <v>6</v>
      </c>
      <c r="AB14" s="10">
        <v>1</v>
      </c>
      <c r="AC14" s="10">
        <v>0</v>
      </c>
      <c r="AD14" s="10">
        <v>0.5</v>
      </c>
      <c r="AE14" s="10">
        <v>10</v>
      </c>
      <c r="AF14" s="10">
        <v>1</v>
      </c>
    </row>
    <row r="15" ht="16.5" spans="1:32">
      <c r="A15" s="4" t="s">
        <v>363</v>
      </c>
      <c r="B15" s="10" t="s">
        <v>312</v>
      </c>
      <c r="C15" s="25">
        <v>194</v>
      </c>
      <c r="D15" s="25">
        <v>1391</v>
      </c>
      <c r="E15" s="25">
        <v>8802</v>
      </c>
      <c r="F15" s="25">
        <v>34651</v>
      </c>
      <c r="G15" s="25">
        <v>83350</v>
      </c>
      <c r="H15" s="25">
        <v>154607</v>
      </c>
      <c r="I15" s="25">
        <v>36</v>
      </c>
      <c r="J15" s="25">
        <v>2541</v>
      </c>
      <c r="K15" s="25">
        <v>100</v>
      </c>
      <c r="L15" s="27">
        <f t="shared" si="0"/>
        <v>796.943298969072</v>
      </c>
      <c r="M15" s="27">
        <f t="shared" si="1"/>
        <v>70.5833333333333</v>
      </c>
      <c r="N15" s="10">
        <v>80</v>
      </c>
      <c r="O15" s="10">
        <v>6</v>
      </c>
      <c r="P15" s="10">
        <v>1</v>
      </c>
      <c r="Q15" s="10">
        <v>25</v>
      </c>
      <c r="R15" s="10">
        <v>0</v>
      </c>
      <c r="S15" s="10">
        <v>0</v>
      </c>
      <c r="T15" s="10">
        <v>5</v>
      </c>
      <c r="U15" s="10">
        <v>65</v>
      </c>
      <c r="V15" s="10">
        <v>79.3</v>
      </c>
      <c r="W15" s="10">
        <v>100</v>
      </c>
      <c r="X15" s="10">
        <v>1</v>
      </c>
      <c r="Y15" s="10">
        <v>3</v>
      </c>
      <c r="Z15" s="10">
        <v>1</v>
      </c>
      <c r="AA15" s="10">
        <v>2.3</v>
      </c>
      <c r="AB15" s="10">
        <v>1</v>
      </c>
      <c r="AC15" s="10">
        <v>0</v>
      </c>
      <c r="AD15" s="10">
        <v>0.5</v>
      </c>
      <c r="AE15" s="10">
        <v>10</v>
      </c>
      <c r="AF15" s="10">
        <v>1</v>
      </c>
    </row>
    <row r="16" ht="16.5" spans="1:32">
      <c r="A16" s="4" t="s">
        <v>366</v>
      </c>
      <c r="B16" s="10" t="s">
        <v>312</v>
      </c>
      <c r="C16" s="25">
        <v>194</v>
      </c>
      <c r="D16" s="25">
        <v>1391</v>
      </c>
      <c r="E16" s="25">
        <v>8802</v>
      </c>
      <c r="F16" s="25">
        <v>34651</v>
      </c>
      <c r="G16" s="25">
        <v>83350</v>
      </c>
      <c r="H16" s="25">
        <v>154607</v>
      </c>
      <c r="I16" s="25">
        <v>33</v>
      </c>
      <c r="J16" s="25">
        <v>2310</v>
      </c>
      <c r="K16" s="25">
        <v>100</v>
      </c>
      <c r="L16" s="27">
        <f t="shared" si="0"/>
        <v>796.943298969072</v>
      </c>
      <c r="M16" s="27">
        <f t="shared" si="1"/>
        <v>70</v>
      </c>
      <c r="N16" s="10">
        <v>80</v>
      </c>
      <c r="O16" s="10">
        <v>6</v>
      </c>
      <c r="P16" s="10">
        <v>1</v>
      </c>
      <c r="Q16" s="10">
        <v>25</v>
      </c>
      <c r="R16" s="10">
        <v>0</v>
      </c>
      <c r="S16" s="10">
        <v>0</v>
      </c>
      <c r="T16" s="10">
        <v>5</v>
      </c>
      <c r="U16" s="10">
        <v>65</v>
      </c>
      <c r="V16" s="10">
        <v>79.3</v>
      </c>
      <c r="W16" s="10">
        <v>100</v>
      </c>
      <c r="X16" s="10">
        <v>1</v>
      </c>
      <c r="Y16" s="10">
        <v>3</v>
      </c>
      <c r="Z16" s="10">
        <v>1</v>
      </c>
      <c r="AA16" s="10">
        <v>2.3</v>
      </c>
      <c r="AB16" s="10">
        <v>1</v>
      </c>
      <c r="AC16" s="10">
        <v>0</v>
      </c>
      <c r="AD16" s="10">
        <v>0.5</v>
      </c>
      <c r="AE16" s="10">
        <v>10</v>
      </c>
      <c r="AF16" s="10">
        <v>1</v>
      </c>
    </row>
    <row r="17" ht="16.5" spans="1:32">
      <c r="A17" s="4" t="s">
        <v>369</v>
      </c>
      <c r="B17" s="10" t="s">
        <v>312</v>
      </c>
      <c r="C17" s="25">
        <v>194</v>
      </c>
      <c r="D17" s="25">
        <v>1391</v>
      </c>
      <c r="E17" s="25">
        <v>8802</v>
      </c>
      <c r="F17" s="25">
        <v>34651</v>
      </c>
      <c r="G17" s="25">
        <v>83350</v>
      </c>
      <c r="H17" s="25">
        <v>154607</v>
      </c>
      <c r="I17" s="25">
        <v>33</v>
      </c>
      <c r="J17" s="25">
        <v>2310</v>
      </c>
      <c r="K17" s="25">
        <v>100</v>
      </c>
      <c r="L17" s="27">
        <f t="shared" si="0"/>
        <v>796.943298969072</v>
      </c>
      <c r="M17" s="27">
        <f t="shared" si="1"/>
        <v>70</v>
      </c>
      <c r="N17" s="10">
        <v>80</v>
      </c>
      <c r="O17" s="10">
        <v>6</v>
      </c>
      <c r="P17" s="10">
        <v>1</v>
      </c>
      <c r="Q17" s="10">
        <v>25</v>
      </c>
      <c r="R17" s="10">
        <v>0</v>
      </c>
      <c r="S17" s="10">
        <v>0</v>
      </c>
      <c r="T17" s="10">
        <v>0</v>
      </c>
      <c r="U17" s="10">
        <v>65</v>
      </c>
      <c r="V17" s="10">
        <v>0</v>
      </c>
      <c r="W17" s="10">
        <v>0</v>
      </c>
      <c r="X17" s="10">
        <v>0</v>
      </c>
      <c r="Y17" s="10">
        <v>0</v>
      </c>
      <c r="Z17" s="10">
        <v>1</v>
      </c>
      <c r="AA17" s="10">
        <v>2.1</v>
      </c>
      <c r="AB17" s="10">
        <v>1</v>
      </c>
      <c r="AC17" s="10">
        <v>0</v>
      </c>
      <c r="AD17" s="10">
        <v>0.5</v>
      </c>
      <c r="AE17" s="10">
        <v>10</v>
      </c>
      <c r="AF17" s="10">
        <v>1</v>
      </c>
    </row>
    <row r="18" ht="16.5" spans="1:32">
      <c r="A18" s="4" t="s">
        <v>373</v>
      </c>
      <c r="B18" s="10" t="s">
        <v>312</v>
      </c>
      <c r="C18" s="25">
        <v>180</v>
      </c>
      <c r="D18" s="25">
        <v>1292</v>
      </c>
      <c r="E18" s="25">
        <v>8173</v>
      </c>
      <c r="F18" s="25">
        <v>32175</v>
      </c>
      <c r="G18" s="25">
        <v>77396</v>
      </c>
      <c r="H18" s="25">
        <v>143563</v>
      </c>
      <c r="I18" s="25">
        <v>26</v>
      </c>
      <c r="J18" s="25">
        <v>1848</v>
      </c>
      <c r="K18" s="25">
        <v>100</v>
      </c>
      <c r="L18" s="27">
        <f t="shared" si="0"/>
        <v>797.572222222222</v>
      </c>
      <c r="M18" s="27">
        <f t="shared" si="1"/>
        <v>71.0769230769231</v>
      </c>
      <c r="N18" s="10">
        <v>60</v>
      </c>
      <c r="O18" s="10">
        <v>6</v>
      </c>
      <c r="P18" s="10">
        <v>1</v>
      </c>
      <c r="Q18" s="10">
        <v>25</v>
      </c>
      <c r="R18" s="10">
        <v>0</v>
      </c>
      <c r="S18" s="10">
        <v>0</v>
      </c>
      <c r="T18" s="10">
        <v>5</v>
      </c>
      <c r="U18" s="10">
        <v>65</v>
      </c>
      <c r="V18" s="10">
        <v>79.3</v>
      </c>
      <c r="W18" s="10">
        <v>100</v>
      </c>
      <c r="X18" s="10">
        <v>1</v>
      </c>
      <c r="Y18" s="10">
        <v>3</v>
      </c>
      <c r="Z18" s="10">
        <v>1</v>
      </c>
      <c r="AA18" s="10">
        <v>2.1</v>
      </c>
      <c r="AB18" s="10">
        <v>1</v>
      </c>
      <c r="AC18" s="10">
        <v>0</v>
      </c>
      <c r="AD18" s="10">
        <v>0.5</v>
      </c>
      <c r="AE18" s="10">
        <v>10</v>
      </c>
      <c r="AF18" s="10">
        <v>1</v>
      </c>
    </row>
    <row r="19" ht="16.5" spans="1:32">
      <c r="A19" s="4" t="s">
        <v>376</v>
      </c>
      <c r="B19" s="10" t="s">
        <v>312</v>
      </c>
      <c r="C19" s="25">
        <v>180</v>
      </c>
      <c r="D19" s="25">
        <v>1292</v>
      </c>
      <c r="E19" s="25">
        <v>8173</v>
      </c>
      <c r="F19" s="25">
        <v>32175</v>
      </c>
      <c r="G19" s="25">
        <v>77396</v>
      </c>
      <c r="H19" s="25">
        <v>143563</v>
      </c>
      <c r="I19" s="25">
        <v>26</v>
      </c>
      <c r="J19" s="25">
        <v>1848</v>
      </c>
      <c r="K19" s="25">
        <v>100</v>
      </c>
      <c r="L19" s="27">
        <f t="shared" si="0"/>
        <v>797.572222222222</v>
      </c>
      <c r="M19" s="27">
        <f t="shared" si="1"/>
        <v>71.0769230769231</v>
      </c>
      <c r="N19" s="10">
        <v>80</v>
      </c>
      <c r="O19" s="10">
        <v>6</v>
      </c>
      <c r="P19" s="10">
        <v>1</v>
      </c>
      <c r="Q19" s="10">
        <v>25</v>
      </c>
      <c r="R19" s="10">
        <v>0</v>
      </c>
      <c r="S19" s="10">
        <v>0</v>
      </c>
      <c r="T19" s="10">
        <v>5</v>
      </c>
      <c r="U19" s="10">
        <v>65</v>
      </c>
      <c r="V19" s="10">
        <v>79.3</v>
      </c>
      <c r="W19" s="10">
        <v>100</v>
      </c>
      <c r="X19" s="10">
        <v>1</v>
      </c>
      <c r="Y19" s="10">
        <v>3</v>
      </c>
      <c r="Z19" s="10">
        <v>1</v>
      </c>
      <c r="AA19" s="10">
        <v>6</v>
      </c>
      <c r="AB19" s="10">
        <v>1</v>
      </c>
      <c r="AC19" s="10">
        <v>0</v>
      </c>
      <c r="AD19" s="10">
        <v>0.5</v>
      </c>
      <c r="AE19" s="10">
        <v>10</v>
      </c>
      <c r="AF19" s="10">
        <v>1</v>
      </c>
    </row>
    <row r="20" ht="16.5" spans="1:32">
      <c r="A20" s="4" t="s">
        <v>379</v>
      </c>
      <c r="B20" s="10" t="s">
        <v>312</v>
      </c>
      <c r="C20" s="25">
        <v>180</v>
      </c>
      <c r="D20" s="25">
        <v>1292</v>
      </c>
      <c r="E20" s="25">
        <v>8173</v>
      </c>
      <c r="F20" s="25">
        <v>32175</v>
      </c>
      <c r="G20" s="25">
        <v>77396</v>
      </c>
      <c r="H20" s="25">
        <v>143563</v>
      </c>
      <c r="I20" s="25">
        <v>28</v>
      </c>
      <c r="J20" s="25">
        <v>1963</v>
      </c>
      <c r="K20" s="25">
        <v>100</v>
      </c>
      <c r="L20" s="27">
        <f t="shared" si="0"/>
        <v>797.572222222222</v>
      </c>
      <c r="M20" s="27">
        <f t="shared" si="1"/>
        <v>70.1071428571429</v>
      </c>
      <c r="N20" s="10">
        <v>80</v>
      </c>
      <c r="O20" s="10">
        <v>6</v>
      </c>
      <c r="P20" s="10">
        <v>1</v>
      </c>
      <c r="Q20" s="10">
        <v>25</v>
      </c>
      <c r="R20" s="10">
        <v>0</v>
      </c>
      <c r="S20" s="10">
        <v>0</v>
      </c>
      <c r="T20" s="10">
        <v>0</v>
      </c>
      <c r="U20" s="10">
        <v>65</v>
      </c>
      <c r="V20" s="10">
        <v>0</v>
      </c>
      <c r="W20" s="10">
        <v>100</v>
      </c>
      <c r="X20" s="10">
        <v>1</v>
      </c>
      <c r="Y20" s="10">
        <v>3</v>
      </c>
      <c r="Z20" s="10">
        <v>1</v>
      </c>
      <c r="AA20" s="10">
        <v>7</v>
      </c>
      <c r="AB20" s="10">
        <v>1</v>
      </c>
      <c r="AC20" s="10">
        <v>0</v>
      </c>
      <c r="AD20" s="10">
        <v>0.5</v>
      </c>
      <c r="AE20" s="10">
        <v>10</v>
      </c>
      <c r="AF20" s="10">
        <v>1</v>
      </c>
    </row>
    <row r="21" ht="16.5" spans="1:32">
      <c r="A21" s="4" t="s">
        <v>382</v>
      </c>
      <c r="B21" s="10" t="s">
        <v>312</v>
      </c>
      <c r="C21" s="25">
        <v>180</v>
      </c>
      <c r="D21" s="25">
        <v>1292</v>
      </c>
      <c r="E21" s="25">
        <v>8173</v>
      </c>
      <c r="F21" s="25">
        <v>32175</v>
      </c>
      <c r="G21" s="25">
        <v>77396</v>
      </c>
      <c r="H21" s="25">
        <v>143563</v>
      </c>
      <c r="I21" s="25">
        <v>28</v>
      </c>
      <c r="J21" s="25">
        <v>1963</v>
      </c>
      <c r="K21" s="25">
        <v>100</v>
      </c>
      <c r="L21" s="27">
        <f t="shared" si="0"/>
        <v>797.572222222222</v>
      </c>
      <c r="M21" s="27">
        <f t="shared" si="1"/>
        <v>70.1071428571429</v>
      </c>
      <c r="N21" s="10">
        <v>80</v>
      </c>
      <c r="O21" s="10">
        <v>6</v>
      </c>
      <c r="P21" s="10">
        <v>1</v>
      </c>
      <c r="Q21" s="10">
        <v>25</v>
      </c>
      <c r="R21" s="10">
        <v>0</v>
      </c>
      <c r="S21" s="10">
        <v>0</v>
      </c>
      <c r="T21" s="10">
        <v>0</v>
      </c>
      <c r="U21" s="10">
        <v>65</v>
      </c>
      <c r="V21" s="10">
        <v>0</v>
      </c>
      <c r="W21" s="10">
        <v>100</v>
      </c>
      <c r="X21" s="10">
        <v>1</v>
      </c>
      <c r="Y21" s="10">
        <v>3</v>
      </c>
      <c r="Z21" s="10">
        <v>1</v>
      </c>
      <c r="AA21" s="10">
        <v>7</v>
      </c>
      <c r="AB21" s="10">
        <v>1</v>
      </c>
      <c r="AC21" s="10">
        <v>0</v>
      </c>
      <c r="AD21" s="10">
        <v>0.5</v>
      </c>
      <c r="AE21" s="10">
        <v>10</v>
      </c>
      <c r="AF21" s="10">
        <v>1</v>
      </c>
    </row>
    <row r="22" ht="16.5" spans="1:32">
      <c r="A22" s="4" t="s">
        <v>385</v>
      </c>
      <c r="B22" s="10" t="s">
        <v>312</v>
      </c>
      <c r="C22" s="25">
        <v>166</v>
      </c>
      <c r="D22" s="25">
        <v>1192</v>
      </c>
      <c r="E22" s="25">
        <v>7544</v>
      </c>
      <c r="F22" s="25">
        <v>29700</v>
      </c>
      <c r="G22" s="25">
        <v>71443</v>
      </c>
      <c r="H22" s="25">
        <v>132520</v>
      </c>
      <c r="I22" s="25">
        <v>30</v>
      </c>
      <c r="J22" s="25">
        <v>2079</v>
      </c>
      <c r="K22" s="25">
        <v>100</v>
      </c>
      <c r="L22" s="27">
        <f t="shared" si="0"/>
        <v>798.313253012048</v>
      </c>
      <c r="M22" s="27">
        <f t="shared" si="1"/>
        <v>69.3</v>
      </c>
      <c r="N22" s="10">
        <v>60</v>
      </c>
      <c r="O22" s="10">
        <v>6</v>
      </c>
      <c r="P22" s="10">
        <v>1</v>
      </c>
      <c r="Q22" s="10">
        <v>25</v>
      </c>
      <c r="R22" s="10">
        <v>0</v>
      </c>
      <c r="S22" s="10">
        <v>0</v>
      </c>
      <c r="T22" s="10">
        <v>0</v>
      </c>
      <c r="U22" s="10">
        <v>65</v>
      </c>
      <c r="V22" s="10">
        <v>0</v>
      </c>
      <c r="W22" s="10">
        <v>100</v>
      </c>
      <c r="X22" s="10">
        <v>1</v>
      </c>
      <c r="Y22" s="10">
        <v>3</v>
      </c>
      <c r="Z22" s="10">
        <v>1</v>
      </c>
      <c r="AA22" s="10">
        <v>6</v>
      </c>
      <c r="AB22" s="10">
        <v>1</v>
      </c>
      <c r="AC22" s="10">
        <v>0</v>
      </c>
      <c r="AD22" s="10">
        <v>0.5</v>
      </c>
      <c r="AE22" s="10">
        <v>10</v>
      </c>
      <c r="AF22" s="10">
        <v>1</v>
      </c>
    </row>
    <row r="23" ht="16.5" spans="1:32">
      <c r="A23" s="4" t="s">
        <v>389</v>
      </c>
      <c r="B23" s="10" t="s">
        <v>312</v>
      </c>
      <c r="C23" s="25">
        <v>166</v>
      </c>
      <c r="D23" s="25">
        <v>1192</v>
      </c>
      <c r="E23" s="25">
        <v>7544</v>
      </c>
      <c r="F23" s="25">
        <v>29700</v>
      </c>
      <c r="G23" s="25">
        <v>71443</v>
      </c>
      <c r="H23" s="25">
        <v>132520</v>
      </c>
      <c r="I23" s="25">
        <v>26</v>
      </c>
      <c r="J23" s="25">
        <v>1848</v>
      </c>
      <c r="K23" s="25">
        <v>100</v>
      </c>
      <c r="L23" s="27">
        <f t="shared" si="0"/>
        <v>798.313253012048</v>
      </c>
      <c r="M23" s="27">
        <f t="shared" si="1"/>
        <v>71.0769230769231</v>
      </c>
      <c r="N23" s="10">
        <v>60</v>
      </c>
      <c r="O23" s="10">
        <v>6</v>
      </c>
      <c r="P23" s="10">
        <v>1</v>
      </c>
      <c r="Q23" s="10">
        <v>25</v>
      </c>
      <c r="R23" s="10">
        <v>0</v>
      </c>
      <c r="S23" s="10">
        <v>0</v>
      </c>
      <c r="T23" s="10">
        <v>5</v>
      </c>
      <c r="U23" s="10">
        <v>65</v>
      </c>
      <c r="V23" s="10">
        <v>79.3</v>
      </c>
      <c r="W23" s="10">
        <v>100</v>
      </c>
      <c r="X23" s="10">
        <v>1</v>
      </c>
      <c r="Y23" s="10">
        <v>3</v>
      </c>
      <c r="Z23" s="10">
        <v>1</v>
      </c>
      <c r="AA23" s="10">
        <v>6</v>
      </c>
      <c r="AB23" s="10">
        <v>1</v>
      </c>
      <c r="AC23" s="10">
        <v>0</v>
      </c>
      <c r="AD23" s="10">
        <v>0.5</v>
      </c>
      <c r="AE23" s="10">
        <v>10</v>
      </c>
      <c r="AF23" s="10">
        <v>1</v>
      </c>
    </row>
    <row r="24" ht="16.5" spans="1:32">
      <c r="A24" s="4" t="s">
        <v>392</v>
      </c>
      <c r="B24" s="10" t="s">
        <v>312</v>
      </c>
      <c r="C24" s="25">
        <v>166</v>
      </c>
      <c r="D24" s="25">
        <v>1192</v>
      </c>
      <c r="E24" s="25">
        <v>7544</v>
      </c>
      <c r="F24" s="25">
        <v>29700</v>
      </c>
      <c r="G24" s="25">
        <v>71443</v>
      </c>
      <c r="H24" s="25">
        <v>132520</v>
      </c>
      <c r="I24" s="25">
        <v>26</v>
      </c>
      <c r="J24" s="25">
        <v>1848</v>
      </c>
      <c r="K24" s="25">
        <v>100</v>
      </c>
      <c r="L24" s="27">
        <f t="shared" si="0"/>
        <v>798.313253012048</v>
      </c>
      <c r="M24" s="27">
        <f t="shared" si="1"/>
        <v>71.0769230769231</v>
      </c>
      <c r="N24" s="10">
        <v>80</v>
      </c>
      <c r="O24" s="10">
        <v>6</v>
      </c>
      <c r="P24" s="10">
        <v>1</v>
      </c>
      <c r="Q24" s="10">
        <v>25</v>
      </c>
      <c r="R24" s="10">
        <v>0</v>
      </c>
      <c r="S24" s="10">
        <v>0</v>
      </c>
      <c r="T24" s="10">
        <v>5</v>
      </c>
      <c r="U24" s="10">
        <v>30</v>
      </c>
      <c r="V24" s="10">
        <v>79.3</v>
      </c>
      <c r="W24" s="10">
        <v>100</v>
      </c>
      <c r="X24" s="10">
        <v>1</v>
      </c>
      <c r="Y24" s="10">
        <v>3</v>
      </c>
      <c r="Z24" s="10">
        <v>1</v>
      </c>
      <c r="AA24" s="10">
        <v>6</v>
      </c>
      <c r="AB24" s="10">
        <v>1</v>
      </c>
      <c r="AC24" s="10">
        <v>0</v>
      </c>
      <c r="AD24" s="10">
        <v>0.5</v>
      </c>
      <c r="AE24" s="10">
        <v>10</v>
      </c>
      <c r="AF24" s="10">
        <v>1</v>
      </c>
    </row>
    <row r="25" ht="16.5" spans="1:32">
      <c r="A25" s="4" t="s">
        <v>397</v>
      </c>
      <c r="B25" s="10" t="s">
        <v>312</v>
      </c>
      <c r="C25" s="25">
        <v>166</v>
      </c>
      <c r="D25" s="25">
        <v>1192</v>
      </c>
      <c r="E25" s="25">
        <v>7544</v>
      </c>
      <c r="F25" s="25">
        <v>29700</v>
      </c>
      <c r="G25" s="25">
        <v>71443</v>
      </c>
      <c r="H25" s="25">
        <v>132520</v>
      </c>
      <c r="I25" s="25">
        <v>33</v>
      </c>
      <c r="J25" s="25">
        <v>2310</v>
      </c>
      <c r="K25" s="25">
        <v>100</v>
      </c>
      <c r="L25" s="27">
        <f t="shared" si="0"/>
        <v>798.313253012048</v>
      </c>
      <c r="M25" s="27">
        <f t="shared" si="1"/>
        <v>70</v>
      </c>
      <c r="N25" s="10">
        <v>80</v>
      </c>
      <c r="O25" s="10">
        <v>6</v>
      </c>
      <c r="P25" s="10">
        <v>1</v>
      </c>
      <c r="Q25" s="10">
        <v>25</v>
      </c>
      <c r="R25" s="10">
        <v>0</v>
      </c>
      <c r="S25" s="10">
        <v>0</v>
      </c>
      <c r="T25" s="10">
        <v>5</v>
      </c>
      <c r="U25" s="10">
        <v>65</v>
      </c>
      <c r="V25" s="10">
        <v>79.3</v>
      </c>
      <c r="W25" s="10">
        <v>100</v>
      </c>
      <c r="X25" s="10">
        <v>1</v>
      </c>
      <c r="Y25" s="10">
        <v>3</v>
      </c>
      <c r="Z25" s="10">
        <v>1</v>
      </c>
      <c r="AA25" s="10">
        <v>2.3</v>
      </c>
      <c r="AB25" s="10">
        <v>1</v>
      </c>
      <c r="AC25" s="10">
        <v>0</v>
      </c>
      <c r="AD25" s="10">
        <v>0.5</v>
      </c>
      <c r="AE25" s="10">
        <v>10</v>
      </c>
      <c r="AF25" s="10">
        <v>1</v>
      </c>
    </row>
    <row r="26" ht="16.5" spans="1:32">
      <c r="A26" s="4" t="s">
        <v>401</v>
      </c>
      <c r="B26" s="10" t="s">
        <v>312</v>
      </c>
      <c r="C26" s="25">
        <v>166</v>
      </c>
      <c r="D26" s="25">
        <v>1192</v>
      </c>
      <c r="E26" s="25">
        <v>7544</v>
      </c>
      <c r="F26" s="25">
        <v>29700</v>
      </c>
      <c r="G26" s="25">
        <v>71443</v>
      </c>
      <c r="H26" s="25">
        <v>132520</v>
      </c>
      <c r="I26" s="25">
        <v>26</v>
      </c>
      <c r="J26" s="25">
        <v>1848</v>
      </c>
      <c r="K26" s="25">
        <v>100</v>
      </c>
      <c r="L26" s="27">
        <f t="shared" si="0"/>
        <v>798.313253012048</v>
      </c>
      <c r="M26" s="27">
        <f t="shared" si="1"/>
        <v>71.0769230769231</v>
      </c>
      <c r="N26" s="10">
        <v>60</v>
      </c>
      <c r="O26" s="10">
        <v>6</v>
      </c>
      <c r="P26" s="10">
        <v>1</v>
      </c>
      <c r="Q26" s="10">
        <v>25</v>
      </c>
      <c r="R26" s="10">
        <v>0</v>
      </c>
      <c r="S26" s="10">
        <v>0</v>
      </c>
      <c r="T26" s="10">
        <v>5</v>
      </c>
      <c r="U26" s="10">
        <v>65</v>
      </c>
      <c r="V26" s="10">
        <v>79.3</v>
      </c>
      <c r="W26" s="10">
        <v>100</v>
      </c>
      <c r="X26" s="10">
        <v>1</v>
      </c>
      <c r="Y26" s="10">
        <v>3</v>
      </c>
      <c r="Z26" s="10">
        <v>1</v>
      </c>
      <c r="AA26" s="10">
        <v>6</v>
      </c>
      <c r="AB26" s="10">
        <v>1</v>
      </c>
      <c r="AC26" s="10">
        <v>0</v>
      </c>
      <c r="AD26" s="10">
        <v>0.5</v>
      </c>
      <c r="AE26" s="10">
        <v>10</v>
      </c>
      <c r="AF26" s="10">
        <v>1</v>
      </c>
    </row>
    <row r="27" ht="16.5" spans="1:32">
      <c r="A27" s="4" t="s">
        <v>406</v>
      </c>
      <c r="B27" s="10" t="s">
        <v>312</v>
      </c>
      <c r="C27" s="25">
        <v>166</v>
      </c>
      <c r="D27" s="25">
        <v>1192</v>
      </c>
      <c r="E27" s="25">
        <v>7544</v>
      </c>
      <c r="F27" s="25">
        <v>29700</v>
      </c>
      <c r="G27" s="25">
        <v>71443</v>
      </c>
      <c r="H27" s="25">
        <v>132520</v>
      </c>
      <c r="I27" s="25">
        <v>33</v>
      </c>
      <c r="J27" s="25">
        <v>2310</v>
      </c>
      <c r="K27" s="25">
        <v>100</v>
      </c>
      <c r="L27" s="27">
        <f t="shared" si="0"/>
        <v>798.313253012048</v>
      </c>
      <c r="M27" s="27">
        <f t="shared" si="1"/>
        <v>70</v>
      </c>
      <c r="N27" s="10">
        <v>110</v>
      </c>
      <c r="O27" s="10">
        <v>6</v>
      </c>
      <c r="P27" s="10">
        <v>1</v>
      </c>
      <c r="Q27" s="10">
        <v>25</v>
      </c>
      <c r="R27" s="10">
        <v>0</v>
      </c>
      <c r="S27" s="10">
        <v>0</v>
      </c>
      <c r="T27" s="10">
        <v>0</v>
      </c>
      <c r="U27" s="10">
        <v>65</v>
      </c>
      <c r="V27" s="10">
        <v>0</v>
      </c>
      <c r="W27" s="10">
        <v>100</v>
      </c>
      <c r="X27" s="10">
        <v>1</v>
      </c>
      <c r="Y27" s="10">
        <v>3</v>
      </c>
      <c r="Z27" s="10">
        <v>1</v>
      </c>
      <c r="AA27" s="10">
        <v>7</v>
      </c>
      <c r="AB27" s="10">
        <v>1</v>
      </c>
      <c r="AC27" s="10">
        <v>0</v>
      </c>
      <c r="AD27" s="10">
        <v>0.5</v>
      </c>
      <c r="AE27" s="10">
        <v>10</v>
      </c>
      <c r="AF27" s="10">
        <v>1</v>
      </c>
    </row>
    <row r="28" ht="16.5" spans="1:32">
      <c r="A28" s="4" t="s">
        <v>409</v>
      </c>
      <c r="B28" s="10" t="s">
        <v>312</v>
      </c>
      <c r="C28" s="25">
        <v>152</v>
      </c>
      <c r="D28" s="25">
        <v>1093</v>
      </c>
      <c r="E28" s="25">
        <v>6916</v>
      </c>
      <c r="F28" s="25">
        <v>27225</v>
      </c>
      <c r="G28" s="25">
        <v>65489</v>
      </c>
      <c r="H28" s="25">
        <v>121477</v>
      </c>
      <c r="I28" s="25">
        <v>26</v>
      </c>
      <c r="J28" s="25">
        <v>1848</v>
      </c>
      <c r="K28" s="25">
        <v>100</v>
      </c>
      <c r="L28" s="27">
        <f t="shared" si="0"/>
        <v>799.190789473684</v>
      </c>
      <c r="M28" s="27">
        <f t="shared" si="1"/>
        <v>71.0769230769231</v>
      </c>
      <c r="N28" s="10">
        <v>60</v>
      </c>
      <c r="O28" s="10">
        <v>6</v>
      </c>
      <c r="P28" s="10">
        <v>1</v>
      </c>
      <c r="Q28" s="10">
        <v>25</v>
      </c>
      <c r="R28" s="10">
        <v>0</v>
      </c>
      <c r="S28" s="10">
        <v>0</v>
      </c>
      <c r="T28" s="10">
        <v>0</v>
      </c>
      <c r="U28" s="10">
        <v>65</v>
      </c>
      <c r="V28" s="10">
        <v>0</v>
      </c>
      <c r="W28" s="10">
        <v>100</v>
      </c>
      <c r="X28" s="10">
        <v>1</v>
      </c>
      <c r="Y28" s="10">
        <v>3</v>
      </c>
      <c r="Z28" s="10">
        <v>1</v>
      </c>
      <c r="AA28" s="10">
        <v>2.1</v>
      </c>
      <c r="AB28" s="10">
        <v>1</v>
      </c>
      <c r="AC28" s="10">
        <v>0</v>
      </c>
      <c r="AD28" s="10">
        <v>0.5</v>
      </c>
      <c r="AE28" s="10">
        <v>10</v>
      </c>
      <c r="AF28" s="10">
        <v>1</v>
      </c>
    </row>
    <row r="29" ht="16.5" spans="1:32">
      <c r="A29" s="4" t="s">
        <v>412</v>
      </c>
      <c r="B29" s="10" t="s">
        <v>312</v>
      </c>
      <c r="C29" s="25">
        <v>152</v>
      </c>
      <c r="D29" s="25">
        <v>1093</v>
      </c>
      <c r="E29" s="25">
        <v>6916</v>
      </c>
      <c r="F29" s="25">
        <v>27225</v>
      </c>
      <c r="G29" s="25">
        <v>65489</v>
      </c>
      <c r="H29" s="25">
        <v>121477</v>
      </c>
      <c r="I29" s="25">
        <v>30</v>
      </c>
      <c r="J29" s="25">
        <v>2079</v>
      </c>
      <c r="K29" s="25">
        <v>100</v>
      </c>
      <c r="L29" s="27">
        <f t="shared" si="0"/>
        <v>799.190789473684</v>
      </c>
      <c r="M29" s="27">
        <f t="shared" si="1"/>
        <v>69.3</v>
      </c>
      <c r="N29" s="10">
        <v>60</v>
      </c>
      <c r="O29" s="10">
        <v>6</v>
      </c>
      <c r="P29" s="10">
        <v>1</v>
      </c>
      <c r="Q29" s="10">
        <v>25</v>
      </c>
      <c r="R29" s="10">
        <v>0</v>
      </c>
      <c r="S29" s="10">
        <v>0</v>
      </c>
      <c r="T29" s="10">
        <v>0</v>
      </c>
      <c r="U29" s="10">
        <v>65</v>
      </c>
      <c r="V29" s="10">
        <v>0</v>
      </c>
      <c r="W29" s="10">
        <v>0</v>
      </c>
      <c r="X29" s="10">
        <v>0</v>
      </c>
      <c r="Y29" s="10">
        <v>0</v>
      </c>
      <c r="Z29" s="10">
        <v>1</v>
      </c>
      <c r="AA29" s="10">
        <v>2.1</v>
      </c>
      <c r="AB29" s="10">
        <v>1</v>
      </c>
      <c r="AC29" s="10">
        <v>0</v>
      </c>
      <c r="AD29" s="10">
        <v>0.5</v>
      </c>
      <c r="AE29" s="10">
        <v>10</v>
      </c>
      <c r="AF29" s="10">
        <v>1</v>
      </c>
    </row>
    <row r="30" ht="16.5" spans="1:32">
      <c r="A30" s="4" t="s">
        <v>416</v>
      </c>
      <c r="B30" s="10" t="s">
        <v>312</v>
      </c>
      <c r="C30" s="25">
        <v>152</v>
      </c>
      <c r="D30" s="25">
        <v>1093</v>
      </c>
      <c r="E30" s="25">
        <v>6916</v>
      </c>
      <c r="F30" s="25">
        <v>27225</v>
      </c>
      <c r="G30" s="25">
        <v>65489</v>
      </c>
      <c r="H30" s="25">
        <v>121477</v>
      </c>
      <c r="I30" s="25">
        <v>30</v>
      </c>
      <c r="J30" s="25">
        <v>2079</v>
      </c>
      <c r="K30" s="25">
        <v>100</v>
      </c>
      <c r="L30" s="27">
        <f t="shared" si="0"/>
        <v>799.190789473684</v>
      </c>
      <c r="M30" s="27">
        <f t="shared" si="1"/>
        <v>69.3</v>
      </c>
      <c r="N30" s="10">
        <v>80</v>
      </c>
      <c r="O30" s="10">
        <v>6</v>
      </c>
      <c r="P30" s="10">
        <v>1</v>
      </c>
      <c r="Q30" s="10">
        <v>25</v>
      </c>
      <c r="R30" s="10">
        <v>0</v>
      </c>
      <c r="S30" s="10">
        <v>0</v>
      </c>
      <c r="T30" s="10">
        <v>5</v>
      </c>
      <c r="U30" s="10">
        <v>40</v>
      </c>
      <c r="V30" s="10">
        <v>79.3</v>
      </c>
      <c r="W30" s="10">
        <v>100</v>
      </c>
      <c r="X30" s="10">
        <v>1</v>
      </c>
      <c r="Y30" s="10">
        <v>3</v>
      </c>
      <c r="Z30" s="10">
        <v>1</v>
      </c>
      <c r="AA30" s="10">
        <v>7</v>
      </c>
      <c r="AB30" s="10">
        <v>1</v>
      </c>
      <c r="AC30" s="10">
        <v>0</v>
      </c>
      <c r="AD30" s="10">
        <v>0.5</v>
      </c>
      <c r="AE30" s="10">
        <v>10</v>
      </c>
      <c r="AF30" s="10">
        <v>1</v>
      </c>
    </row>
    <row r="31" ht="16.5" spans="1:32">
      <c r="A31" s="4" t="s">
        <v>421</v>
      </c>
      <c r="B31" s="10" t="s">
        <v>312</v>
      </c>
      <c r="C31" s="25">
        <v>152</v>
      </c>
      <c r="D31" s="25">
        <v>1093</v>
      </c>
      <c r="E31" s="25">
        <v>6916</v>
      </c>
      <c r="F31" s="25">
        <v>27225</v>
      </c>
      <c r="G31" s="25">
        <v>65489</v>
      </c>
      <c r="H31" s="25">
        <v>121477</v>
      </c>
      <c r="I31" s="25">
        <v>26</v>
      </c>
      <c r="J31" s="25">
        <v>1848</v>
      </c>
      <c r="K31" s="25">
        <v>100</v>
      </c>
      <c r="L31" s="27">
        <f t="shared" si="0"/>
        <v>799.190789473684</v>
      </c>
      <c r="M31" s="27">
        <f t="shared" si="1"/>
        <v>71.0769230769231</v>
      </c>
      <c r="N31" s="10">
        <v>60</v>
      </c>
      <c r="O31" s="10">
        <v>6</v>
      </c>
      <c r="P31" s="10">
        <v>1</v>
      </c>
      <c r="Q31" s="10">
        <v>25</v>
      </c>
      <c r="R31" s="10">
        <v>0</v>
      </c>
      <c r="S31" s="10">
        <v>0</v>
      </c>
      <c r="T31" s="10">
        <v>5</v>
      </c>
      <c r="U31" s="10">
        <v>65</v>
      </c>
      <c r="V31" s="10">
        <v>79.3</v>
      </c>
      <c r="W31" s="10">
        <v>100</v>
      </c>
      <c r="X31" s="10">
        <v>1</v>
      </c>
      <c r="Y31" s="10">
        <v>3</v>
      </c>
      <c r="Z31" s="10">
        <v>1</v>
      </c>
      <c r="AA31" s="10">
        <v>6</v>
      </c>
      <c r="AB31" s="10">
        <v>1</v>
      </c>
      <c r="AC31" s="10">
        <v>0</v>
      </c>
      <c r="AD31" s="10">
        <v>0.5</v>
      </c>
      <c r="AE31" s="10">
        <v>10</v>
      </c>
      <c r="AF31" s="10">
        <v>1</v>
      </c>
    </row>
    <row r="32" ht="16.5" spans="1:32">
      <c r="A32" s="4" t="s">
        <v>424</v>
      </c>
      <c r="B32" s="10" t="s">
        <v>312</v>
      </c>
      <c r="C32" s="25">
        <v>138</v>
      </c>
      <c r="D32" s="25">
        <v>994</v>
      </c>
      <c r="E32" s="25">
        <v>6287</v>
      </c>
      <c r="F32" s="25">
        <v>24750</v>
      </c>
      <c r="G32" s="25">
        <v>59536</v>
      </c>
      <c r="H32" s="25">
        <v>110433</v>
      </c>
      <c r="I32" s="25">
        <v>33</v>
      </c>
      <c r="J32" s="25">
        <v>2310</v>
      </c>
      <c r="K32" s="25">
        <v>100</v>
      </c>
      <c r="L32" s="27">
        <f t="shared" si="0"/>
        <v>800.239130434783</v>
      </c>
      <c r="M32" s="27">
        <f t="shared" si="1"/>
        <v>70</v>
      </c>
      <c r="N32" s="10">
        <v>60</v>
      </c>
      <c r="O32" s="10">
        <v>6</v>
      </c>
      <c r="P32" s="10">
        <v>1</v>
      </c>
      <c r="Q32" s="10">
        <v>25</v>
      </c>
      <c r="R32" s="10">
        <v>0</v>
      </c>
      <c r="S32" s="10">
        <v>0</v>
      </c>
      <c r="T32" s="10">
        <v>5</v>
      </c>
      <c r="U32" s="10">
        <v>65</v>
      </c>
      <c r="V32" s="10">
        <v>79.3</v>
      </c>
      <c r="W32" s="10">
        <v>100</v>
      </c>
      <c r="X32" s="10">
        <v>1</v>
      </c>
      <c r="Y32" s="10">
        <v>3</v>
      </c>
      <c r="Z32" s="10">
        <v>1</v>
      </c>
      <c r="AA32" s="10">
        <v>2.1</v>
      </c>
      <c r="AB32" s="10">
        <v>1</v>
      </c>
      <c r="AC32" s="10">
        <v>0</v>
      </c>
      <c r="AD32" s="10">
        <v>0.5</v>
      </c>
      <c r="AE32" s="10">
        <v>10</v>
      </c>
      <c r="AF32" s="10">
        <v>1</v>
      </c>
    </row>
    <row r="33" ht="16.5" spans="1:32">
      <c r="A33" s="4" t="s">
        <v>426</v>
      </c>
      <c r="B33" s="10" t="s">
        <v>312</v>
      </c>
      <c r="C33" s="25">
        <v>138</v>
      </c>
      <c r="D33" s="25">
        <v>994</v>
      </c>
      <c r="E33" s="25">
        <v>6287</v>
      </c>
      <c r="F33" s="25">
        <v>24750</v>
      </c>
      <c r="G33" s="25">
        <v>59536</v>
      </c>
      <c r="H33" s="25">
        <v>110433</v>
      </c>
      <c r="I33" s="25">
        <v>13</v>
      </c>
      <c r="J33" s="25">
        <v>924</v>
      </c>
      <c r="K33" s="25">
        <v>100</v>
      </c>
      <c r="L33" s="27">
        <f t="shared" si="0"/>
        <v>800.239130434783</v>
      </c>
      <c r="M33" s="27">
        <f t="shared" si="1"/>
        <v>71.0769230769231</v>
      </c>
      <c r="N33" s="10">
        <v>60</v>
      </c>
      <c r="O33" s="10">
        <v>6</v>
      </c>
      <c r="P33" s="10">
        <v>1</v>
      </c>
      <c r="Q33" s="10">
        <v>25</v>
      </c>
      <c r="R33" s="10">
        <v>0</v>
      </c>
      <c r="S33" s="10">
        <v>0</v>
      </c>
      <c r="T33" s="10">
        <v>5</v>
      </c>
      <c r="U33" s="10">
        <v>65</v>
      </c>
      <c r="V33" s="10">
        <v>79.3</v>
      </c>
      <c r="W33" s="10">
        <v>100</v>
      </c>
      <c r="X33" s="10">
        <v>1</v>
      </c>
      <c r="Y33" s="10">
        <v>3</v>
      </c>
      <c r="Z33" s="10">
        <v>1</v>
      </c>
      <c r="AA33" s="10">
        <v>6</v>
      </c>
      <c r="AB33" s="10">
        <v>1</v>
      </c>
      <c r="AC33" s="10">
        <v>0</v>
      </c>
      <c r="AD33" s="10">
        <v>0.5</v>
      </c>
      <c r="AE33" s="10">
        <v>10</v>
      </c>
      <c r="AF33" s="10">
        <v>1</v>
      </c>
    </row>
    <row r="34" ht="16.5" spans="1:32">
      <c r="A34" s="4" t="s">
        <v>431</v>
      </c>
      <c r="B34" s="10" t="s">
        <v>312</v>
      </c>
      <c r="C34" s="25">
        <v>138</v>
      </c>
      <c r="D34" s="25">
        <v>994</v>
      </c>
      <c r="E34" s="25">
        <v>6287</v>
      </c>
      <c r="F34" s="25">
        <v>24750</v>
      </c>
      <c r="G34" s="25">
        <v>59536</v>
      </c>
      <c r="H34" s="25">
        <v>110433</v>
      </c>
      <c r="I34" s="25">
        <v>36</v>
      </c>
      <c r="J34" s="25">
        <v>2541</v>
      </c>
      <c r="K34" s="25">
        <v>100</v>
      </c>
      <c r="L34" s="27">
        <f t="shared" si="0"/>
        <v>800.239130434783</v>
      </c>
      <c r="M34" s="27">
        <f t="shared" si="1"/>
        <v>70.5833333333333</v>
      </c>
      <c r="N34" s="10">
        <v>80</v>
      </c>
      <c r="O34" s="10">
        <v>6</v>
      </c>
      <c r="P34" s="10">
        <v>1</v>
      </c>
      <c r="Q34" s="10">
        <v>25</v>
      </c>
      <c r="R34" s="10">
        <v>0</v>
      </c>
      <c r="S34" s="10">
        <v>0</v>
      </c>
      <c r="T34" s="10">
        <v>5</v>
      </c>
      <c r="U34" s="10">
        <v>40</v>
      </c>
      <c r="V34" s="10">
        <v>79.3</v>
      </c>
      <c r="W34" s="10">
        <v>100</v>
      </c>
      <c r="X34" s="10">
        <v>1</v>
      </c>
      <c r="Y34" s="10">
        <v>3</v>
      </c>
      <c r="Z34" s="10">
        <v>1</v>
      </c>
      <c r="AA34" s="10">
        <v>7</v>
      </c>
      <c r="AB34" s="10">
        <v>1</v>
      </c>
      <c r="AC34" s="10">
        <v>0</v>
      </c>
      <c r="AD34" s="10">
        <v>0.5</v>
      </c>
      <c r="AE34" s="10">
        <v>10</v>
      </c>
      <c r="AF34" s="10">
        <v>1</v>
      </c>
    </row>
    <row r="35" ht="16.5" spans="1:32">
      <c r="A35" s="4" t="s">
        <v>434</v>
      </c>
      <c r="B35" s="10" t="s">
        <v>312</v>
      </c>
      <c r="C35" s="25">
        <v>138</v>
      </c>
      <c r="D35" s="25">
        <v>994</v>
      </c>
      <c r="E35" s="25">
        <v>6287</v>
      </c>
      <c r="F35" s="25">
        <v>24750</v>
      </c>
      <c r="G35" s="25">
        <v>59536</v>
      </c>
      <c r="H35" s="25">
        <v>110433</v>
      </c>
      <c r="I35" s="25">
        <v>26</v>
      </c>
      <c r="J35" s="25">
        <v>1848</v>
      </c>
      <c r="K35" s="25">
        <v>100</v>
      </c>
      <c r="L35" s="27">
        <f t="shared" si="0"/>
        <v>800.239130434783</v>
      </c>
      <c r="M35" s="27">
        <f t="shared" si="1"/>
        <v>71.0769230769231</v>
      </c>
      <c r="N35" s="10">
        <v>60</v>
      </c>
      <c r="O35" s="10">
        <v>6</v>
      </c>
      <c r="P35" s="10">
        <v>1</v>
      </c>
      <c r="Q35" s="10">
        <v>25</v>
      </c>
      <c r="R35" s="10">
        <v>0</v>
      </c>
      <c r="S35" s="10">
        <v>0</v>
      </c>
      <c r="T35" s="10">
        <v>0</v>
      </c>
      <c r="U35" s="10">
        <v>65</v>
      </c>
      <c r="V35" s="10">
        <v>0</v>
      </c>
      <c r="W35" s="10">
        <v>100</v>
      </c>
      <c r="X35" s="10">
        <v>1</v>
      </c>
      <c r="Y35" s="10">
        <v>3</v>
      </c>
      <c r="Z35" s="10">
        <v>1</v>
      </c>
      <c r="AA35" s="10">
        <v>6</v>
      </c>
      <c r="AB35" s="10">
        <v>1</v>
      </c>
      <c r="AC35" s="10">
        <v>0</v>
      </c>
      <c r="AD35" s="10">
        <v>0.5</v>
      </c>
      <c r="AE35" s="10">
        <v>10</v>
      </c>
      <c r="AF35" s="10">
        <v>1</v>
      </c>
    </row>
    <row r="36" ht="16.5" spans="1:32">
      <c r="A36" s="4" t="s">
        <v>436</v>
      </c>
      <c r="B36" s="10" t="s">
        <v>312</v>
      </c>
      <c r="C36" s="25">
        <v>125</v>
      </c>
      <c r="D36" s="25">
        <v>894</v>
      </c>
      <c r="E36" s="25">
        <v>5658</v>
      </c>
      <c r="F36" s="25">
        <v>22275</v>
      </c>
      <c r="G36" s="25">
        <v>53582</v>
      </c>
      <c r="H36" s="25">
        <v>99390</v>
      </c>
      <c r="I36" s="25">
        <v>30</v>
      </c>
      <c r="J36" s="25">
        <v>2079</v>
      </c>
      <c r="K36" s="25">
        <v>100</v>
      </c>
      <c r="L36" s="27">
        <f t="shared" si="0"/>
        <v>795.12</v>
      </c>
      <c r="M36" s="27">
        <f t="shared" si="1"/>
        <v>69.3</v>
      </c>
      <c r="N36" s="10">
        <v>60</v>
      </c>
      <c r="O36" s="10">
        <v>6</v>
      </c>
      <c r="P36" s="10">
        <v>1</v>
      </c>
      <c r="Q36" s="10">
        <v>25</v>
      </c>
      <c r="R36" s="10">
        <v>0</v>
      </c>
      <c r="S36" s="10">
        <v>0</v>
      </c>
      <c r="T36" s="10">
        <v>5</v>
      </c>
      <c r="U36" s="10">
        <v>65</v>
      </c>
      <c r="V36" s="10">
        <v>79.3</v>
      </c>
      <c r="W36" s="10">
        <v>100</v>
      </c>
      <c r="X36" s="10">
        <v>1</v>
      </c>
      <c r="Y36" s="10">
        <v>3</v>
      </c>
      <c r="Z36" s="10">
        <v>1</v>
      </c>
      <c r="AA36" s="10">
        <v>2.1</v>
      </c>
      <c r="AB36" s="10">
        <v>1</v>
      </c>
      <c r="AC36" s="10">
        <v>0</v>
      </c>
      <c r="AD36" s="10">
        <v>0.5</v>
      </c>
      <c r="AE36" s="10">
        <v>10</v>
      </c>
      <c r="AF36" s="10">
        <v>1</v>
      </c>
    </row>
    <row r="37" ht="16.5" spans="1:32">
      <c r="A37" s="4" t="s">
        <v>440</v>
      </c>
      <c r="B37" s="10" t="s">
        <v>312</v>
      </c>
      <c r="C37" s="25">
        <v>111</v>
      </c>
      <c r="D37" s="25">
        <v>795</v>
      </c>
      <c r="E37" s="25">
        <v>5029</v>
      </c>
      <c r="F37" s="25">
        <v>19800</v>
      </c>
      <c r="G37" s="25">
        <v>47629</v>
      </c>
      <c r="H37" s="25">
        <v>88347</v>
      </c>
      <c r="I37" s="25">
        <v>26</v>
      </c>
      <c r="J37" s="25">
        <v>1848</v>
      </c>
      <c r="K37" s="25">
        <v>100</v>
      </c>
      <c r="L37" s="27">
        <f t="shared" si="0"/>
        <v>795.918918918919</v>
      </c>
      <c r="M37" s="27">
        <f t="shared" si="1"/>
        <v>71.0769230769231</v>
      </c>
      <c r="N37" s="10">
        <v>60</v>
      </c>
      <c r="O37" s="10">
        <v>6</v>
      </c>
      <c r="P37" s="10">
        <v>1</v>
      </c>
      <c r="Q37" s="10">
        <v>25</v>
      </c>
      <c r="R37" s="10">
        <v>0</v>
      </c>
      <c r="S37" s="10">
        <v>0</v>
      </c>
      <c r="T37" s="10">
        <v>0</v>
      </c>
      <c r="U37" s="10">
        <v>65</v>
      </c>
      <c r="V37" s="10">
        <v>0</v>
      </c>
      <c r="W37" s="10">
        <v>100</v>
      </c>
      <c r="X37" s="10">
        <v>1</v>
      </c>
      <c r="Y37" s="10">
        <v>3</v>
      </c>
      <c r="Z37" s="10">
        <v>1</v>
      </c>
      <c r="AA37" s="10">
        <v>6</v>
      </c>
      <c r="AB37" s="10">
        <v>1</v>
      </c>
      <c r="AC37" s="10">
        <v>0</v>
      </c>
      <c r="AD37" s="10">
        <v>0.5</v>
      </c>
      <c r="AE37" s="10">
        <v>10</v>
      </c>
      <c r="AF37" s="10">
        <v>1</v>
      </c>
    </row>
    <row r="38" ht="16.5" spans="1:32">
      <c r="A38" s="4" t="s">
        <v>443</v>
      </c>
      <c r="B38" s="10" t="s">
        <v>312</v>
      </c>
      <c r="C38" s="25">
        <v>111</v>
      </c>
      <c r="D38" s="25">
        <v>795</v>
      </c>
      <c r="E38" s="25">
        <v>5029</v>
      </c>
      <c r="F38" s="25">
        <v>19800</v>
      </c>
      <c r="G38" s="25">
        <v>47629</v>
      </c>
      <c r="H38" s="25">
        <v>88347</v>
      </c>
      <c r="I38" s="25">
        <v>26</v>
      </c>
      <c r="J38" s="25">
        <v>1848</v>
      </c>
      <c r="K38" s="25">
        <v>100</v>
      </c>
      <c r="L38" s="27">
        <f t="shared" si="0"/>
        <v>795.918918918919</v>
      </c>
      <c r="M38" s="27">
        <f t="shared" si="1"/>
        <v>71.0769230769231</v>
      </c>
      <c r="N38" s="10">
        <v>60</v>
      </c>
      <c r="O38" s="10">
        <v>6</v>
      </c>
      <c r="P38" s="10">
        <v>1</v>
      </c>
      <c r="Q38" s="10">
        <v>25</v>
      </c>
      <c r="R38" s="10">
        <v>0</v>
      </c>
      <c r="S38" s="10">
        <v>0</v>
      </c>
      <c r="T38" s="10">
        <v>5</v>
      </c>
      <c r="U38" s="10">
        <v>45</v>
      </c>
      <c r="V38" s="10">
        <v>79.3</v>
      </c>
      <c r="W38" s="10">
        <v>100</v>
      </c>
      <c r="X38" s="10">
        <v>1</v>
      </c>
      <c r="Y38" s="10">
        <v>3</v>
      </c>
      <c r="Z38" s="10">
        <v>1</v>
      </c>
      <c r="AA38" s="10">
        <v>2.1</v>
      </c>
      <c r="AB38" s="10">
        <v>1</v>
      </c>
      <c r="AC38" s="10">
        <v>0</v>
      </c>
      <c r="AD38" s="10">
        <v>0.5</v>
      </c>
      <c r="AE38" s="10">
        <v>10</v>
      </c>
      <c r="AF38" s="10">
        <v>1</v>
      </c>
    </row>
    <row r="39" ht="16.5" spans="1:32">
      <c r="A39" s="4" t="s">
        <v>446</v>
      </c>
      <c r="B39" s="10" t="s">
        <v>312</v>
      </c>
      <c r="C39" s="25">
        <v>111</v>
      </c>
      <c r="D39" s="25">
        <v>795</v>
      </c>
      <c r="E39" s="25">
        <v>5029</v>
      </c>
      <c r="F39" s="25">
        <v>19800</v>
      </c>
      <c r="G39" s="25">
        <v>47629</v>
      </c>
      <c r="H39" s="25">
        <v>88347</v>
      </c>
      <c r="I39" s="25">
        <v>26</v>
      </c>
      <c r="J39" s="25">
        <v>1848</v>
      </c>
      <c r="K39" s="25">
        <v>100</v>
      </c>
      <c r="L39" s="27">
        <f t="shared" si="0"/>
        <v>795.918918918919</v>
      </c>
      <c r="M39" s="27">
        <f t="shared" si="1"/>
        <v>71.0769230769231</v>
      </c>
      <c r="N39" s="10">
        <v>80</v>
      </c>
      <c r="O39" s="10">
        <v>6</v>
      </c>
      <c r="P39" s="10">
        <v>1</v>
      </c>
      <c r="Q39" s="10">
        <v>25</v>
      </c>
      <c r="R39" s="10">
        <v>0</v>
      </c>
      <c r="S39" s="10">
        <v>0</v>
      </c>
      <c r="T39" s="10">
        <v>0</v>
      </c>
      <c r="U39" s="10">
        <v>65</v>
      </c>
      <c r="V39" s="10">
        <v>0</v>
      </c>
      <c r="W39" s="10">
        <v>100</v>
      </c>
      <c r="X39" s="10">
        <v>1</v>
      </c>
      <c r="Y39" s="10">
        <v>3</v>
      </c>
      <c r="Z39" s="10">
        <v>1</v>
      </c>
      <c r="AA39" s="10">
        <v>6</v>
      </c>
      <c r="AB39" s="10">
        <v>1</v>
      </c>
      <c r="AC39" s="10">
        <v>0</v>
      </c>
      <c r="AD39" s="10">
        <v>0.5</v>
      </c>
      <c r="AE39" s="10">
        <v>10</v>
      </c>
      <c r="AF39" s="10">
        <v>1</v>
      </c>
    </row>
    <row r="40" ht="16.5" spans="1:32">
      <c r="A40" s="4" t="s">
        <v>450</v>
      </c>
      <c r="B40" s="10" t="s">
        <v>312</v>
      </c>
      <c r="C40" s="25">
        <v>111</v>
      </c>
      <c r="D40" s="25">
        <v>795</v>
      </c>
      <c r="E40" s="25">
        <v>5029</v>
      </c>
      <c r="F40" s="25">
        <v>19800</v>
      </c>
      <c r="G40" s="25">
        <v>47629</v>
      </c>
      <c r="H40" s="25">
        <v>88347</v>
      </c>
      <c r="I40" s="25">
        <v>49</v>
      </c>
      <c r="J40" s="25">
        <v>3465</v>
      </c>
      <c r="K40" s="25">
        <v>100</v>
      </c>
      <c r="L40" s="27">
        <f t="shared" si="0"/>
        <v>795.918918918919</v>
      </c>
      <c r="M40" s="27">
        <f t="shared" si="1"/>
        <v>70.7142857142857</v>
      </c>
      <c r="N40" s="10">
        <v>80</v>
      </c>
      <c r="O40" s="10">
        <v>6</v>
      </c>
      <c r="P40" s="10">
        <v>1</v>
      </c>
      <c r="Q40" s="10">
        <v>25</v>
      </c>
      <c r="R40" s="10">
        <v>0</v>
      </c>
      <c r="S40" s="10">
        <v>0</v>
      </c>
      <c r="T40" s="10">
        <v>5</v>
      </c>
      <c r="U40" s="10">
        <v>65</v>
      </c>
      <c r="V40" s="10">
        <v>79.3</v>
      </c>
      <c r="W40" s="10">
        <v>100</v>
      </c>
      <c r="X40" s="10">
        <v>1</v>
      </c>
      <c r="Y40" s="10">
        <v>3</v>
      </c>
      <c r="Z40" s="10">
        <v>1</v>
      </c>
      <c r="AA40" s="10">
        <v>7</v>
      </c>
      <c r="AB40" s="10">
        <v>1</v>
      </c>
      <c r="AC40" s="10">
        <v>0</v>
      </c>
      <c r="AD40" s="10">
        <v>0.5</v>
      </c>
      <c r="AE40" s="10">
        <v>10</v>
      </c>
      <c r="AF40" s="10">
        <v>1</v>
      </c>
    </row>
    <row r="41" ht="16.5" spans="1:32">
      <c r="A41" s="4" t="s">
        <v>454</v>
      </c>
      <c r="B41" s="10" t="s">
        <v>312</v>
      </c>
      <c r="C41" s="25">
        <v>1</v>
      </c>
      <c r="D41" s="25">
        <v>1</v>
      </c>
      <c r="E41" s="25">
        <v>1</v>
      </c>
      <c r="F41" s="25">
        <v>1</v>
      </c>
      <c r="G41" s="25">
        <v>1</v>
      </c>
      <c r="H41" s="25">
        <v>1</v>
      </c>
      <c r="I41" s="25">
        <v>16</v>
      </c>
      <c r="J41" s="25">
        <v>1155</v>
      </c>
      <c r="K41" s="25">
        <v>100</v>
      </c>
      <c r="L41" s="27">
        <f t="shared" si="0"/>
        <v>1</v>
      </c>
      <c r="M41" s="27">
        <f t="shared" si="1"/>
        <v>72.1875</v>
      </c>
      <c r="N41" s="10">
        <v>60</v>
      </c>
      <c r="O41" s="10">
        <v>6</v>
      </c>
      <c r="P41" s="10">
        <v>1</v>
      </c>
      <c r="Q41" s="10">
        <v>25</v>
      </c>
      <c r="R41" s="10">
        <v>0</v>
      </c>
      <c r="S41" s="10">
        <v>0</v>
      </c>
      <c r="T41" s="10">
        <v>0</v>
      </c>
      <c r="U41" s="10">
        <v>65</v>
      </c>
      <c r="V41" s="10">
        <v>0</v>
      </c>
      <c r="W41" s="10">
        <v>0</v>
      </c>
      <c r="X41" s="10">
        <v>0</v>
      </c>
      <c r="Y41" s="10">
        <v>0</v>
      </c>
      <c r="Z41" s="10">
        <v>1</v>
      </c>
      <c r="AA41" s="10">
        <v>2.1</v>
      </c>
      <c r="AB41" s="10">
        <v>1</v>
      </c>
      <c r="AC41" s="10">
        <v>0</v>
      </c>
      <c r="AD41" s="10">
        <v>0.5</v>
      </c>
      <c r="AE41" s="10">
        <v>5</v>
      </c>
      <c r="AF41" s="10">
        <v>1</v>
      </c>
    </row>
    <row r="42" ht="16.5" spans="1:32">
      <c r="A42" s="4" t="s">
        <v>459</v>
      </c>
      <c r="B42" s="10" t="s">
        <v>461</v>
      </c>
      <c r="C42" s="25">
        <v>1246</v>
      </c>
      <c r="D42" s="25">
        <v>8942</v>
      </c>
      <c r="E42" s="25">
        <v>56582</v>
      </c>
      <c r="F42" s="25">
        <v>222753</v>
      </c>
      <c r="G42" s="25">
        <v>535821</v>
      </c>
      <c r="H42" s="25">
        <v>993901</v>
      </c>
      <c r="I42" s="25">
        <v>44</v>
      </c>
      <c r="J42" s="25">
        <v>3118</v>
      </c>
      <c r="K42" s="25">
        <v>100</v>
      </c>
      <c r="L42" s="27">
        <f t="shared" si="0"/>
        <v>797.673354735153</v>
      </c>
      <c r="M42" s="27">
        <f t="shared" si="1"/>
        <v>70.8636363636364</v>
      </c>
      <c r="N42" s="10">
        <v>200</v>
      </c>
      <c r="O42" s="10">
        <v>7</v>
      </c>
      <c r="P42" s="10">
        <v>1.25</v>
      </c>
      <c r="Q42" s="10">
        <v>35</v>
      </c>
      <c r="R42" s="10">
        <v>30</v>
      </c>
      <c r="S42" s="10">
        <v>30</v>
      </c>
      <c r="T42" s="10">
        <v>5</v>
      </c>
      <c r="U42" s="10">
        <v>65</v>
      </c>
      <c r="V42" s="10">
        <v>0</v>
      </c>
      <c r="W42" s="10">
        <v>0</v>
      </c>
      <c r="X42" s="10">
        <v>1</v>
      </c>
      <c r="Y42" s="10">
        <v>3</v>
      </c>
      <c r="Z42" s="10">
        <v>1</v>
      </c>
      <c r="AA42" s="10">
        <v>6</v>
      </c>
      <c r="AB42" s="10">
        <v>1</v>
      </c>
      <c r="AC42" s="10">
        <v>0</v>
      </c>
      <c r="AD42" s="10">
        <v>0.5</v>
      </c>
      <c r="AE42" s="10">
        <v>10</v>
      </c>
      <c r="AF42" s="10">
        <v>0.3</v>
      </c>
    </row>
    <row r="43" ht="16.5" spans="1:32">
      <c r="A43" s="4" t="s">
        <v>465</v>
      </c>
      <c r="B43" s="10" t="s">
        <v>461</v>
      </c>
      <c r="C43" s="25">
        <v>1246</v>
      </c>
      <c r="D43" s="25">
        <v>8942</v>
      </c>
      <c r="E43" s="25">
        <v>56582</v>
      </c>
      <c r="F43" s="25">
        <v>222753</v>
      </c>
      <c r="G43" s="25">
        <v>535821</v>
      </c>
      <c r="H43" s="25">
        <v>993901</v>
      </c>
      <c r="I43" s="25">
        <v>72</v>
      </c>
      <c r="J43" s="25">
        <v>5081</v>
      </c>
      <c r="K43" s="25">
        <v>100</v>
      </c>
      <c r="L43" s="27">
        <f t="shared" si="0"/>
        <v>797.673354735153</v>
      </c>
      <c r="M43" s="27">
        <f t="shared" si="1"/>
        <v>70.5694444444444</v>
      </c>
      <c r="N43" s="10">
        <v>200</v>
      </c>
      <c r="O43" s="10">
        <v>7.5</v>
      </c>
      <c r="P43" s="10">
        <v>1.25</v>
      </c>
      <c r="Q43" s="10">
        <v>35</v>
      </c>
      <c r="R43" s="10">
        <v>30</v>
      </c>
      <c r="S43" s="10">
        <v>30</v>
      </c>
      <c r="T43" s="10">
        <v>0</v>
      </c>
      <c r="U43" s="10">
        <v>65</v>
      </c>
      <c r="V43" s="10">
        <v>0</v>
      </c>
      <c r="W43" s="10">
        <v>0</v>
      </c>
      <c r="X43" s="10">
        <v>0</v>
      </c>
      <c r="Y43" s="10">
        <v>0</v>
      </c>
      <c r="Z43" s="10">
        <v>1.5</v>
      </c>
      <c r="AA43" s="10">
        <v>3.2</v>
      </c>
      <c r="AB43" s="10">
        <v>1</v>
      </c>
      <c r="AC43" s="10">
        <v>0</v>
      </c>
      <c r="AD43" s="10">
        <v>0.5</v>
      </c>
      <c r="AE43" s="10">
        <v>20</v>
      </c>
      <c r="AF43" s="10">
        <v>0.3</v>
      </c>
    </row>
    <row r="44" ht="16.5" spans="1:32">
      <c r="A44" s="4" t="s">
        <v>467</v>
      </c>
      <c r="B44" s="10" t="s">
        <v>461</v>
      </c>
      <c r="C44" s="25">
        <v>1094</v>
      </c>
      <c r="D44" s="25">
        <v>7849</v>
      </c>
      <c r="E44" s="25">
        <v>49666</v>
      </c>
      <c r="F44" s="25">
        <v>195528</v>
      </c>
      <c r="G44" s="25">
        <v>470332</v>
      </c>
      <c r="H44" s="25">
        <v>872424</v>
      </c>
      <c r="I44" s="25">
        <v>59</v>
      </c>
      <c r="J44" s="25">
        <v>4158</v>
      </c>
      <c r="K44" s="25">
        <v>100</v>
      </c>
      <c r="L44" s="27">
        <f t="shared" si="0"/>
        <v>797.46252285192</v>
      </c>
      <c r="M44" s="27">
        <f t="shared" si="1"/>
        <v>70.4745762711864</v>
      </c>
      <c r="N44" s="10">
        <v>180</v>
      </c>
      <c r="O44" s="10">
        <v>7.5</v>
      </c>
      <c r="P44" s="10">
        <v>1.25</v>
      </c>
      <c r="Q44" s="10">
        <v>35</v>
      </c>
      <c r="R44" s="10">
        <v>30</v>
      </c>
      <c r="S44" s="10">
        <v>30</v>
      </c>
      <c r="T44" s="10">
        <v>0</v>
      </c>
      <c r="U44" s="10">
        <v>65</v>
      </c>
      <c r="V44" s="10">
        <v>0</v>
      </c>
      <c r="W44" s="10">
        <v>0</v>
      </c>
      <c r="X44" s="10">
        <v>0</v>
      </c>
      <c r="Y44" s="10">
        <v>0</v>
      </c>
      <c r="Z44" s="10">
        <v>1.5</v>
      </c>
      <c r="AA44" s="10">
        <v>7</v>
      </c>
      <c r="AB44" s="10">
        <v>1</v>
      </c>
      <c r="AC44" s="10">
        <v>0</v>
      </c>
      <c r="AD44" s="10">
        <v>0.5</v>
      </c>
      <c r="AE44" s="10">
        <v>20</v>
      </c>
      <c r="AF44" s="10">
        <v>0.3</v>
      </c>
    </row>
    <row r="45" ht="16.5" spans="1:32">
      <c r="A45" s="4" t="s">
        <v>470</v>
      </c>
      <c r="B45" s="10" t="s">
        <v>461</v>
      </c>
      <c r="C45" s="25">
        <v>969</v>
      </c>
      <c r="D45" s="25">
        <v>6955</v>
      </c>
      <c r="E45" s="25">
        <v>44008</v>
      </c>
      <c r="F45" s="25">
        <v>173253</v>
      </c>
      <c r="G45" s="25">
        <v>416750</v>
      </c>
      <c r="H45" s="25">
        <v>773034</v>
      </c>
      <c r="I45" s="25">
        <v>43</v>
      </c>
      <c r="J45" s="25">
        <v>3003</v>
      </c>
      <c r="K45" s="25">
        <v>100</v>
      </c>
      <c r="L45" s="27">
        <f t="shared" si="0"/>
        <v>797.764705882353</v>
      </c>
      <c r="M45" s="27">
        <f t="shared" si="1"/>
        <v>69.8372093023256</v>
      </c>
      <c r="N45" s="10">
        <v>200</v>
      </c>
      <c r="O45" s="10">
        <v>7</v>
      </c>
      <c r="P45" s="10">
        <v>1.25</v>
      </c>
      <c r="Q45" s="10">
        <v>35</v>
      </c>
      <c r="R45" s="10">
        <v>20</v>
      </c>
      <c r="S45" s="10">
        <v>20</v>
      </c>
      <c r="T45" s="10">
        <v>5</v>
      </c>
      <c r="U45" s="10">
        <v>65</v>
      </c>
      <c r="V45" s="10">
        <v>0</v>
      </c>
      <c r="W45" s="10">
        <v>0</v>
      </c>
      <c r="X45" s="10">
        <v>1</v>
      </c>
      <c r="Y45" s="10">
        <v>3</v>
      </c>
      <c r="Z45" s="10">
        <v>1</v>
      </c>
      <c r="AA45" s="10">
        <v>6</v>
      </c>
      <c r="AB45" s="10">
        <v>1</v>
      </c>
      <c r="AC45" s="10">
        <v>0</v>
      </c>
      <c r="AD45" s="10">
        <v>0.5</v>
      </c>
      <c r="AE45" s="10">
        <v>10</v>
      </c>
      <c r="AF45" s="10">
        <v>0.3</v>
      </c>
    </row>
    <row r="46" ht="16.5" spans="1:32">
      <c r="A46" s="4" t="s">
        <v>474</v>
      </c>
      <c r="B46" s="10" t="s">
        <v>461</v>
      </c>
      <c r="C46" s="25">
        <v>831</v>
      </c>
      <c r="D46" s="25">
        <v>5961</v>
      </c>
      <c r="E46" s="25">
        <v>37721</v>
      </c>
      <c r="F46" s="25">
        <v>148502</v>
      </c>
      <c r="G46" s="25">
        <v>357214</v>
      </c>
      <c r="H46" s="25">
        <v>662600</v>
      </c>
      <c r="I46" s="25">
        <v>66</v>
      </c>
      <c r="J46" s="25">
        <v>4620</v>
      </c>
      <c r="K46" s="25">
        <v>100</v>
      </c>
      <c r="L46" s="27">
        <f t="shared" si="0"/>
        <v>797.352587244284</v>
      </c>
      <c r="M46" s="27">
        <f t="shared" si="1"/>
        <v>70</v>
      </c>
      <c r="N46" s="10">
        <v>160</v>
      </c>
      <c r="O46" s="10">
        <v>7</v>
      </c>
      <c r="P46" s="10">
        <v>1.25</v>
      </c>
      <c r="Q46" s="10">
        <v>35</v>
      </c>
      <c r="R46" s="10">
        <v>20</v>
      </c>
      <c r="S46" s="10">
        <v>20</v>
      </c>
      <c r="T46" s="10">
        <v>0</v>
      </c>
      <c r="U46" s="10">
        <v>65</v>
      </c>
      <c r="V46" s="10">
        <v>0</v>
      </c>
      <c r="W46" s="10">
        <v>0</v>
      </c>
      <c r="X46" s="10">
        <v>0</v>
      </c>
      <c r="Y46" s="10">
        <v>0</v>
      </c>
      <c r="Z46" s="10">
        <v>1.5</v>
      </c>
      <c r="AA46" s="10">
        <v>3.2</v>
      </c>
      <c r="AB46" s="10">
        <v>1</v>
      </c>
      <c r="AC46" s="10">
        <v>0</v>
      </c>
      <c r="AD46" s="10">
        <v>0.5</v>
      </c>
      <c r="AE46" s="10">
        <v>20</v>
      </c>
      <c r="AF46" s="10">
        <v>0.3</v>
      </c>
    </row>
    <row r="47" ht="16.5" spans="1:32">
      <c r="A47" s="4" t="s">
        <v>477</v>
      </c>
      <c r="B47" s="10" t="s">
        <v>461</v>
      </c>
      <c r="C47" s="25">
        <v>831</v>
      </c>
      <c r="D47" s="25">
        <v>5961</v>
      </c>
      <c r="E47" s="25">
        <v>37721</v>
      </c>
      <c r="F47" s="25">
        <v>148502</v>
      </c>
      <c r="G47" s="25">
        <v>357214</v>
      </c>
      <c r="H47" s="25">
        <v>662600</v>
      </c>
      <c r="I47" s="25">
        <v>39</v>
      </c>
      <c r="J47" s="25">
        <v>2772</v>
      </c>
      <c r="K47" s="25">
        <v>100</v>
      </c>
      <c r="L47" s="27">
        <f t="shared" si="0"/>
        <v>797.352587244284</v>
      </c>
      <c r="M47" s="27">
        <f t="shared" si="1"/>
        <v>71.0769230769231</v>
      </c>
      <c r="N47" s="10">
        <v>200</v>
      </c>
      <c r="O47" s="10">
        <v>7</v>
      </c>
      <c r="P47" s="10">
        <v>1.25</v>
      </c>
      <c r="Q47" s="10">
        <v>35</v>
      </c>
      <c r="R47" s="10">
        <v>20</v>
      </c>
      <c r="S47" s="10">
        <v>20</v>
      </c>
      <c r="T47" s="10">
        <v>5</v>
      </c>
      <c r="U47" s="10">
        <v>65</v>
      </c>
      <c r="V47" s="10">
        <v>0</v>
      </c>
      <c r="W47" s="10">
        <v>0</v>
      </c>
      <c r="X47" s="10">
        <v>1</v>
      </c>
      <c r="Y47" s="10">
        <v>3</v>
      </c>
      <c r="Z47" s="10">
        <v>1</v>
      </c>
      <c r="AA47" s="10">
        <v>6</v>
      </c>
      <c r="AB47" s="10">
        <v>1</v>
      </c>
      <c r="AC47" s="10">
        <v>0</v>
      </c>
      <c r="AD47" s="10">
        <v>0.5</v>
      </c>
      <c r="AE47" s="10">
        <v>10</v>
      </c>
      <c r="AF47" s="10">
        <v>0.3</v>
      </c>
    </row>
    <row r="48" ht="16.5" spans="1:32">
      <c r="A48" s="4" t="s">
        <v>480</v>
      </c>
      <c r="B48" s="10" t="s">
        <v>461</v>
      </c>
      <c r="C48" s="25">
        <v>831</v>
      </c>
      <c r="D48" s="25">
        <v>5961</v>
      </c>
      <c r="E48" s="25">
        <v>37721</v>
      </c>
      <c r="F48" s="25">
        <v>148502</v>
      </c>
      <c r="G48" s="25">
        <v>357214</v>
      </c>
      <c r="H48" s="25">
        <v>662600</v>
      </c>
      <c r="I48" s="25">
        <v>49</v>
      </c>
      <c r="J48" s="25">
        <v>3465</v>
      </c>
      <c r="K48" s="25">
        <v>100</v>
      </c>
      <c r="L48" s="27">
        <f t="shared" si="0"/>
        <v>797.352587244284</v>
      </c>
      <c r="M48" s="27">
        <f t="shared" si="1"/>
        <v>70.7142857142857</v>
      </c>
      <c r="N48" s="10">
        <v>170</v>
      </c>
      <c r="O48" s="10">
        <v>7</v>
      </c>
      <c r="P48" s="10">
        <v>1.25</v>
      </c>
      <c r="Q48" s="10">
        <v>35</v>
      </c>
      <c r="R48" s="10">
        <v>20</v>
      </c>
      <c r="S48" s="10">
        <v>20</v>
      </c>
      <c r="T48" s="10">
        <v>0</v>
      </c>
      <c r="U48" s="10">
        <v>65</v>
      </c>
      <c r="V48" s="10">
        <v>0</v>
      </c>
      <c r="W48" s="10">
        <v>0</v>
      </c>
      <c r="X48" s="10">
        <v>0</v>
      </c>
      <c r="Y48" s="10">
        <v>0</v>
      </c>
      <c r="Z48" s="10">
        <v>1.5</v>
      </c>
      <c r="AA48" s="10">
        <v>7</v>
      </c>
      <c r="AB48" s="10">
        <v>1</v>
      </c>
      <c r="AC48" s="10">
        <v>0</v>
      </c>
      <c r="AD48" s="10">
        <v>0.5</v>
      </c>
      <c r="AE48" s="10">
        <v>20</v>
      </c>
      <c r="AF48" s="10">
        <v>0.3</v>
      </c>
    </row>
    <row r="49" ht="16.5" spans="1:32">
      <c r="A49" s="4" t="s">
        <v>485</v>
      </c>
      <c r="B49" s="10" t="s">
        <v>461</v>
      </c>
      <c r="C49" s="25">
        <v>761</v>
      </c>
      <c r="D49" s="25">
        <v>5465</v>
      </c>
      <c r="E49" s="25">
        <v>34578</v>
      </c>
      <c r="F49" s="25">
        <v>136127</v>
      </c>
      <c r="G49" s="25">
        <v>327446</v>
      </c>
      <c r="H49" s="25">
        <v>607384</v>
      </c>
      <c r="I49" s="25">
        <v>49</v>
      </c>
      <c r="J49" s="25">
        <v>3465</v>
      </c>
      <c r="K49" s="25">
        <v>100</v>
      </c>
      <c r="L49" s="27">
        <f t="shared" si="0"/>
        <v>798.139290407359</v>
      </c>
      <c r="M49" s="27">
        <f t="shared" si="1"/>
        <v>70.7142857142857</v>
      </c>
      <c r="N49" s="10">
        <v>110</v>
      </c>
      <c r="O49" s="10">
        <v>7</v>
      </c>
      <c r="P49" s="10">
        <v>1.25</v>
      </c>
      <c r="Q49" s="10">
        <v>35</v>
      </c>
      <c r="R49" s="10">
        <v>20</v>
      </c>
      <c r="S49" s="10">
        <v>20</v>
      </c>
      <c r="T49" s="10">
        <v>5</v>
      </c>
      <c r="U49" s="10">
        <v>65</v>
      </c>
      <c r="V49" s="10">
        <v>79.3</v>
      </c>
      <c r="W49" s="10">
        <v>100</v>
      </c>
      <c r="X49" s="10">
        <v>1</v>
      </c>
      <c r="Y49" s="10">
        <v>3</v>
      </c>
      <c r="Z49" s="10">
        <v>1</v>
      </c>
      <c r="AA49" s="10">
        <v>2.3</v>
      </c>
      <c r="AB49" s="10">
        <v>1</v>
      </c>
      <c r="AC49" s="10">
        <v>0</v>
      </c>
      <c r="AD49" s="10">
        <v>0.5</v>
      </c>
      <c r="AE49" s="10">
        <v>10</v>
      </c>
      <c r="AF49" s="10">
        <v>1</v>
      </c>
    </row>
    <row r="50" ht="16.5" spans="1:32">
      <c r="A50" s="4" t="s">
        <v>491</v>
      </c>
      <c r="B50" s="10" t="s">
        <v>461</v>
      </c>
      <c r="C50" s="25">
        <v>761</v>
      </c>
      <c r="D50" s="25">
        <v>5465</v>
      </c>
      <c r="E50" s="25">
        <v>34578</v>
      </c>
      <c r="F50" s="25">
        <v>136127</v>
      </c>
      <c r="G50" s="25">
        <v>327446</v>
      </c>
      <c r="H50" s="25">
        <v>607384</v>
      </c>
      <c r="I50" s="25">
        <v>49</v>
      </c>
      <c r="J50" s="25">
        <v>3465</v>
      </c>
      <c r="K50" s="25">
        <v>100</v>
      </c>
      <c r="L50" s="27">
        <f t="shared" si="0"/>
        <v>798.139290407359</v>
      </c>
      <c r="M50" s="27">
        <f t="shared" si="1"/>
        <v>70.7142857142857</v>
      </c>
      <c r="N50" s="10">
        <v>110</v>
      </c>
      <c r="O50" s="10">
        <v>7</v>
      </c>
      <c r="P50" s="10">
        <v>1.25</v>
      </c>
      <c r="Q50" s="10">
        <v>35</v>
      </c>
      <c r="R50" s="10">
        <v>20</v>
      </c>
      <c r="S50" s="10">
        <v>20</v>
      </c>
      <c r="T50" s="10">
        <v>5</v>
      </c>
      <c r="U50" s="10">
        <v>65</v>
      </c>
      <c r="V50" s="10">
        <v>79.3</v>
      </c>
      <c r="W50" s="10">
        <v>100</v>
      </c>
      <c r="X50" s="10">
        <v>1</v>
      </c>
      <c r="Y50" s="10">
        <v>3</v>
      </c>
      <c r="Z50" s="10">
        <v>1</v>
      </c>
      <c r="AA50" s="10">
        <v>2.3</v>
      </c>
      <c r="AB50" s="10">
        <v>1</v>
      </c>
      <c r="AC50" s="10">
        <v>0</v>
      </c>
      <c r="AD50" s="10">
        <v>0.5</v>
      </c>
      <c r="AE50" s="10">
        <v>10</v>
      </c>
      <c r="AF50" s="10">
        <v>1</v>
      </c>
    </row>
    <row r="51" ht="16.5" spans="1:32">
      <c r="A51" s="4" t="s">
        <v>494</v>
      </c>
      <c r="B51" s="10" t="s">
        <v>461</v>
      </c>
      <c r="C51" s="25">
        <v>761</v>
      </c>
      <c r="D51" s="25">
        <v>5465</v>
      </c>
      <c r="E51" s="25">
        <v>34578</v>
      </c>
      <c r="F51" s="25">
        <v>136127</v>
      </c>
      <c r="G51" s="25">
        <v>327446</v>
      </c>
      <c r="H51" s="25">
        <v>607384</v>
      </c>
      <c r="I51" s="25">
        <v>49</v>
      </c>
      <c r="J51" s="25">
        <v>3465</v>
      </c>
      <c r="K51" s="25">
        <v>100</v>
      </c>
      <c r="L51" s="27">
        <f t="shared" si="0"/>
        <v>798.139290407359</v>
      </c>
      <c r="M51" s="27">
        <f t="shared" si="1"/>
        <v>70.7142857142857</v>
      </c>
      <c r="N51" s="10">
        <v>160</v>
      </c>
      <c r="O51" s="10">
        <v>7</v>
      </c>
      <c r="P51" s="10">
        <v>1.25</v>
      </c>
      <c r="Q51" s="10">
        <v>35</v>
      </c>
      <c r="R51" s="10">
        <v>20</v>
      </c>
      <c r="S51" s="10">
        <v>20</v>
      </c>
      <c r="T51" s="10">
        <v>0</v>
      </c>
      <c r="U51" s="10">
        <v>65</v>
      </c>
      <c r="V51" s="10">
        <v>0</v>
      </c>
      <c r="W51" s="10">
        <v>0</v>
      </c>
      <c r="X51" s="10">
        <v>0</v>
      </c>
      <c r="Y51" s="10">
        <v>0</v>
      </c>
      <c r="Z51" s="10">
        <v>1.5</v>
      </c>
      <c r="AA51" s="10">
        <v>7</v>
      </c>
      <c r="AB51" s="10">
        <v>1</v>
      </c>
      <c r="AC51" s="10">
        <v>0</v>
      </c>
      <c r="AD51" s="10">
        <v>0.5</v>
      </c>
      <c r="AE51" s="10">
        <v>20</v>
      </c>
      <c r="AF51" s="10">
        <v>0.3</v>
      </c>
    </row>
    <row r="52" ht="16.5" spans="1:32">
      <c r="A52" s="4" t="s">
        <v>498</v>
      </c>
      <c r="B52" s="10" t="s">
        <v>461</v>
      </c>
      <c r="C52" s="25">
        <v>734</v>
      </c>
      <c r="D52" s="25">
        <v>5266</v>
      </c>
      <c r="E52" s="25">
        <v>33320</v>
      </c>
      <c r="F52" s="25">
        <v>131177</v>
      </c>
      <c r="G52" s="25">
        <v>315539</v>
      </c>
      <c r="H52" s="25">
        <v>585297</v>
      </c>
      <c r="I52" s="25">
        <v>49</v>
      </c>
      <c r="J52" s="25">
        <v>3465</v>
      </c>
      <c r="K52" s="25">
        <v>100</v>
      </c>
      <c r="L52" s="27">
        <f t="shared" si="0"/>
        <v>797.407356948229</v>
      </c>
      <c r="M52" s="27">
        <f t="shared" si="1"/>
        <v>70.7142857142857</v>
      </c>
      <c r="N52" s="10">
        <v>140</v>
      </c>
      <c r="O52" s="10">
        <v>7</v>
      </c>
      <c r="P52" s="10">
        <v>1.25</v>
      </c>
      <c r="Q52" s="10">
        <v>35</v>
      </c>
      <c r="R52" s="10">
        <v>20</v>
      </c>
      <c r="S52" s="10">
        <v>20</v>
      </c>
      <c r="T52" s="10">
        <v>0</v>
      </c>
      <c r="U52" s="10">
        <v>65</v>
      </c>
      <c r="V52" s="10">
        <v>0</v>
      </c>
      <c r="W52" s="10">
        <v>0</v>
      </c>
      <c r="X52" s="10">
        <v>0</v>
      </c>
      <c r="Y52" s="10">
        <v>0</v>
      </c>
      <c r="Z52" s="10">
        <v>1.5</v>
      </c>
      <c r="AA52" s="10">
        <v>7</v>
      </c>
      <c r="AB52" s="10">
        <v>1</v>
      </c>
      <c r="AC52" s="10">
        <v>0</v>
      </c>
      <c r="AD52" s="10">
        <v>0.5</v>
      </c>
      <c r="AE52" s="10">
        <v>20</v>
      </c>
      <c r="AF52" s="10">
        <v>0.3</v>
      </c>
    </row>
    <row r="53" ht="16.5" spans="1:32">
      <c r="A53" s="4" t="s">
        <v>500</v>
      </c>
      <c r="B53" s="10" t="s">
        <v>461</v>
      </c>
      <c r="C53" s="25">
        <v>692</v>
      </c>
      <c r="D53" s="25">
        <v>4968</v>
      </c>
      <c r="E53" s="25">
        <v>31434</v>
      </c>
      <c r="F53" s="25">
        <v>123752</v>
      </c>
      <c r="G53" s="25">
        <v>297678</v>
      </c>
      <c r="H53" s="25">
        <v>552167</v>
      </c>
      <c r="I53" s="25">
        <v>56</v>
      </c>
      <c r="J53" s="25">
        <v>3927</v>
      </c>
      <c r="K53" s="25">
        <v>100</v>
      </c>
      <c r="L53" s="27">
        <f t="shared" si="0"/>
        <v>797.929190751445</v>
      </c>
      <c r="M53" s="27">
        <f t="shared" si="1"/>
        <v>70.125</v>
      </c>
      <c r="N53" s="10">
        <v>160</v>
      </c>
      <c r="O53" s="10">
        <v>7</v>
      </c>
      <c r="P53" s="10">
        <v>1.25</v>
      </c>
      <c r="Q53" s="10">
        <v>35</v>
      </c>
      <c r="R53" s="10">
        <v>20</v>
      </c>
      <c r="S53" s="10">
        <v>20</v>
      </c>
      <c r="T53" s="10">
        <v>0</v>
      </c>
      <c r="U53" s="10">
        <v>65</v>
      </c>
      <c r="V53" s="10">
        <v>0</v>
      </c>
      <c r="W53" s="10">
        <v>0</v>
      </c>
      <c r="X53" s="10">
        <v>0</v>
      </c>
      <c r="Y53" s="10">
        <v>0</v>
      </c>
      <c r="Z53" s="10">
        <v>2</v>
      </c>
      <c r="AA53" s="10">
        <v>12</v>
      </c>
      <c r="AB53" s="10">
        <v>1</v>
      </c>
      <c r="AC53" s="10">
        <v>0</v>
      </c>
      <c r="AD53" s="10">
        <v>0.5</v>
      </c>
      <c r="AE53" s="10">
        <v>10</v>
      </c>
      <c r="AF53" s="10">
        <v>0</v>
      </c>
    </row>
    <row r="54" ht="16.5" spans="1:32">
      <c r="A54" s="4" t="s">
        <v>506</v>
      </c>
      <c r="B54" s="10" t="s">
        <v>508</v>
      </c>
      <c r="C54" s="25">
        <v>1869</v>
      </c>
      <c r="D54" s="25">
        <v>13413</v>
      </c>
      <c r="E54" s="25">
        <v>84872</v>
      </c>
      <c r="F54" s="25">
        <v>334130</v>
      </c>
      <c r="G54" s="25">
        <v>803731</v>
      </c>
      <c r="H54" s="25">
        <v>1490851</v>
      </c>
      <c r="I54" s="25">
        <v>72</v>
      </c>
      <c r="J54" s="25">
        <v>5081</v>
      </c>
      <c r="K54" s="25">
        <v>100</v>
      </c>
      <c r="L54" s="27">
        <f t="shared" si="0"/>
        <v>797.673087212413</v>
      </c>
      <c r="M54" s="27">
        <f t="shared" si="1"/>
        <v>70.5694444444444</v>
      </c>
      <c r="N54" s="10">
        <v>320</v>
      </c>
      <c r="O54" s="10">
        <v>9</v>
      </c>
      <c r="P54" s="10">
        <v>1.5</v>
      </c>
      <c r="Q54" s="10">
        <v>50</v>
      </c>
      <c r="R54" s="10">
        <v>30</v>
      </c>
      <c r="S54" s="10">
        <v>30</v>
      </c>
      <c r="T54" s="10">
        <v>0</v>
      </c>
      <c r="U54" s="10">
        <v>65</v>
      </c>
      <c r="V54" s="10">
        <v>0</v>
      </c>
      <c r="W54" s="10">
        <v>0</v>
      </c>
      <c r="X54" s="10">
        <v>0</v>
      </c>
      <c r="Y54" s="10">
        <v>0</v>
      </c>
      <c r="Z54" s="10">
        <v>2</v>
      </c>
      <c r="AA54" s="10">
        <v>7</v>
      </c>
      <c r="AB54" s="10">
        <v>1</v>
      </c>
      <c r="AC54" s="10">
        <v>0</v>
      </c>
      <c r="AD54" s="10">
        <v>0.5</v>
      </c>
      <c r="AE54" s="10">
        <v>20</v>
      </c>
      <c r="AF54" s="10">
        <v>0.3</v>
      </c>
    </row>
    <row r="55" ht="16.5" spans="1:32">
      <c r="A55" s="4" t="s">
        <v>512</v>
      </c>
      <c r="B55" s="10" t="s">
        <v>508</v>
      </c>
      <c r="C55" s="25">
        <v>1869</v>
      </c>
      <c r="D55" s="25">
        <v>13413</v>
      </c>
      <c r="E55" s="25">
        <v>84872</v>
      </c>
      <c r="F55" s="25">
        <v>334130</v>
      </c>
      <c r="G55" s="25">
        <v>803731</v>
      </c>
      <c r="H55" s="25">
        <v>1490851</v>
      </c>
      <c r="I55" s="25">
        <v>72</v>
      </c>
      <c r="J55" s="25">
        <v>5081</v>
      </c>
      <c r="K55" s="25">
        <v>100</v>
      </c>
      <c r="L55" s="27">
        <f t="shared" si="0"/>
        <v>797.673087212413</v>
      </c>
      <c r="M55" s="27">
        <f t="shared" si="1"/>
        <v>70.5694444444444</v>
      </c>
      <c r="N55" s="10">
        <v>320</v>
      </c>
      <c r="O55" s="10">
        <v>9</v>
      </c>
      <c r="P55" s="10">
        <v>1.5</v>
      </c>
      <c r="Q55" s="10">
        <v>50</v>
      </c>
      <c r="R55" s="10">
        <v>30</v>
      </c>
      <c r="S55" s="10">
        <v>30</v>
      </c>
      <c r="T55" s="10">
        <v>0</v>
      </c>
      <c r="U55" s="10">
        <v>65</v>
      </c>
      <c r="V55" s="10">
        <v>0</v>
      </c>
      <c r="W55" s="10">
        <v>0</v>
      </c>
      <c r="X55" s="10">
        <v>0</v>
      </c>
      <c r="Y55" s="10">
        <v>0</v>
      </c>
      <c r="Z55" s="10">
        <v>1.2</v>
      </c>
      <c r="AA55" s="10">
        <v>2.8</v>
      </c>
      <c r="AB55" s="10">
        <v>1</v>
      </c>
      <c r="AC55" s="10">
        <v>0</v>
      </c>
      <c r="AD55" s="10">
        <v>0.5</v>
      </c>
      <c r="AE55" s="10">
        <v>20</v>
      </c>
      <c r="AF55" s="10">
        <v>0.3</v>
      </c>
    </row>
    <row r="56" ht="16.5" spans="1:32">
      <c r="A56" s="4" t="s">
        <v>517</v>
      </c>
      <c r="B56" s="10" t="s">
        <v>508</v>
      </c>
      <c r="C56" s="25">
        <v>1800</v>
      </c>
      <c r="D56" s="25">
        <v>12916</v>
      </c>
      <c r="E56" s="25">
        <v>81729</v>
      </c>
      <c r="F56" s="25">
        <v>321755</v>
      </c>
      <c r="G56" s="25">
        <v>773964</v>
      </c>
      <c r="H56" s="25">
        <v>1435634</v>
      </c>
      <c r="I56" s="25">
        <v>72</v>
      </c>
      <c r="J56" s="25">
        <v>5081</v>
      </c>
      <c r="K56" s="25">
        <v>100</v>
      </c>
      <c r="L56" s="27">
        <f t="shared" si="0"/>
        <v>797.574444444444</v>
      </c>
      <c r="M56" s="27">
        <f t="shared" si="1"/>
        <v>70.5694444444444</v>
      </c>
      <c r="N56" s="10">
        <v>320</v>
      </c>
      <c r="O56" s="10">
        <v>9</v>
      </c>
      <c r="P56" s="10">
        <v>1.5</v>
      </c>
      <c r="Q56" s="10">
        <v>50</v>
      </c>
      <c r="R56" s="10">
        <v>30</v>
      </c>
      <c r="S56" s="10">
        <v>30</v>
      </c>
      <c r="T56" s="10">
        <v>0</v>
      </c>
      <c r="U56" s="10">
        <v>65</v>
      </c>
      <c r="V56" s="10">
        <v>0</v>
      </c>
      <c r="W56" s="10">
        <v>0</v>
      </c>
      <c r="X56" s="10">
        <v>0</v>
      </c>
      <c r="Y56" s="10">
        <v>0</v>
      </c>
      <c r="Z56" s="10">
        <v>2</v>
      </c>
      <c r="AA56" s="10">
        <v>7</v>
      </c>
      <c r="AB56" s="10">
        <v>1</v>
      </c>
      <c r="AC56" s="10">
        <v>0</v>
      </c>
      <c r="AD56" s="10">
        <v>0.5</v>
      </c>
      <c r="AE56" s="10">
        <v>20</v>
      </c>
      <c r="AF56" s="10">
        <v>0.3</v>
      </c>
    </row>
    <row r="57" ht="16.5" spans="1:32">
      <c r="A57" s="4" t="s">
        <v>522</v>
      </c>
      <c r="B57" s="10" t="s">
        <v>508</v>
      </c>
      <c r="C57" s="25">
        <v>1661</v>
      </c>
      <c r="D57" s="25">
        <v>11923</v>
      </c>
      <c r="E57" s="25">
        <v>75442</v>
      </c>
      <c r="F57" s="25">
        <v>297005</v>
      </c>
      <c r="G57" s="25">
        <v>714428</v>
      </c>
      <c r="H57" s="25">
        <v>1325201</v>
      </c>
      <c r="I57" s="25">
        <v>66</v>
      </c>
      <c r="J57" s="25">
        <v>4620</v>
      </c>
      <c r="K57" s="25">
        <v>100</v>
      </c>
      <c r="L57" s="27">
        <f t="shared" si="0"/>
        <v>797.833232992173</v>
      </c>
      <c r="M57" s="27">
        <f t="shared" si="1"/>
        <v>70</v>
      </c>
      <c r="N57" s="10">
        <v>320</v>
      </c>
      <c r="O57" s="10">
        <v>9</v>
      </c>
      <c r="P57" s="10">
        <v>1.5</v>
      </c>
      <c r="Q57" s="10">
        <v>50</v>
      </c>
      <c r="R57" s="10">
        <v>30</v>
      </c>
      <c r="S57" s="10">
        <v>30</v>
      </c>
      <c r="T57" s="10">
        <v>0</v>
      </c>
      <c r="U57" s="10">
        <v>65</v>
      </c>
      <c r="V57" s="10">
        <v>0</v>
      </c>
      <c r="W57" s="10">
        <v>0</v>
      </c>
      <c r="X57" s="10">
        <v>0</v>
      </c>
      <c r="Y57" s="10">
        <v>0</v>
      </c>
      <c r="Z57" s="10">
        <v>1.5</v>
      </c>
      <c r="AA57" s="10">
        <v>2.8</v>
      </c>
      <c r="AB57" s="10">
        <v>1</v>
      </c>
      <c r="AC57" s="10">
        <v>0</v>
      </c>
      <c r="AD57" s="10">
        <v>0.5</v>
      </c>
      <c r="AE57" s="10">
        <v>20</v>
      </c>
      <c r="AF57" s="10">
        <v>0</v>
      </c>
    </row>
    <row r="58" ht="16.5" spans="1:32">
      <c r="A58" s="4" t="s">
        <v>527</v>
      </c>
      <c r="B58" s="10" t="s">
        <v>508</v>
      </c>
      <c r="C58" s="25">
        <v>1661</v>
      </c>
      <c r="D58" s="25">
        <v>11923</v>
      </c>
      <c r="E58" s="25">
        <v>75442</v>
      </c>
      <c r="F58" s="25">
        <v>297005</v>
      </c>
      <c r="G58" s="25">
        <v>714428</v>
      </c>
      <c r="H58" s="25">
        <v>1325201</v>
      </c>
      <c r="I58" s="25">
        <v>105</v>
      </c>
      <c r="J58" s="25">
        <v>7391</v>
      </c>
      <c r="K58" s="25">
        <v>100</v>
      </c>
      <c r="L58" s="27">
        <f t="shared" si="0"/>
        <v>797.833232992173</v>
      </c>
      <c r="M58" s="27">
        <f t="shared" si="1"/>
        <v>70.3904761904762</v>
      </c>
      <c r="N58" s="10">
        <v>340</v>
      </c>
      <c r="O58" s="10">
        <v>9</v>
      </c>
      <c r="P58" s="10">
        <v>1.5</v>
      </c>
      <c r="Q58" s="10">
        <v>50</v>
      </c>
      <c r="R58" s="10">
        <v>30</v>
      </c>
      <c r="S58" s="10">
        <v>30</v>
      </c>
      <c r="T58" s="10">
        <v>0</v>
      </c>
      <c r="U58" s="10">
        <v>65</v>
      </c>
      <c r="V58" s="10">
        <v>0</v>
      </c>
      <c r="W58" s="10">
        <v>0</v>
      </c>
      <c r="X58" s="10">
        <v>0</v>
      </c>
      <c r="Y58" s="10">
        <v>0</v>
      </c>
      <c r="Z58" s="10">
        <v>1.5</v>
      </c>
      <c r="AA58" s="10">
        <v>2.8</v>
      </c>
      <c r="AB58" s="10">
        <v>1</v>
      </c>
      <c r="AC58" s="10">
        <v>0</v>
      </c>
      <c r="AD58" s="10">
        <v>0.5</v>
      </c>
      <c r="AE58" s="10">
        <v>20</v>
      </c>
      <c r="AF58" s="10">
        <v>0</v>
      </c>
    </row>
    <row r="59" ht="16.5" spans="1:32">
      <c r="A59" s="4" t="s">
        <v>532</v>
      </c>
      <c r="B59" s="10" t="s">
        <v>508</v>
      </c>
      <c r="C59" s="25">
        <v>1385</v>
      </c>
      <c r="D59" s="25">
        <v>9936</v>
      </c>
      <c r="E59" s="25">
        <v>62869</v>
      </c>
      <c r="F59" s="25">
        <v>247504</v>
      </c>
      <c r="G59" s="25">
        <v>595357</v>
      </c>
      <c r="H59" s="25">
        <v>1104334</v>
      </c>
      <c r="I59" s="25">
        <v>66</v>
      </c>
      <c r="J59" s="25">
        <v>4620</v>
      </c>
      <c r="K59" s="25">
        <v>100</v>
      </c>
      <c r="L59" s="27">
        <f t="shared" si="0"/>
        <v>797.353068592058</v>
      </c>
      <c r="M59" s="27">
        <f t="shared" si="1"/>
        <v>70</v>
      </c>
      <c r="N59" s="10">
        <v>280</v>
      </c>
      <c r="O59" s="10">
        <v>9</v>
      </c>
      <c r="P59" s="10">
        <v>1.5</v>
      </c>
      <c r="Q59" s="10">
        <v>50</v>
      </c>
      <c r="R59" s="10">
        <v>30</v>
      </c>
      <c r="S59" s="10">
        <v>30</v>
      </c>
      <c r="T59" s="10">
        <v>0</v>
      </c>
      <c r="U59" s="10">
        <v>65</v>
      </c>
      <c r="V59" s="10">
        <v>0</v>
      </c>
      <c r="W59" s="10">
        <v>0</v>
      </c>
      <c r="X59" s="10">
        <v>0</v>
      </c>
      <c r="Y59" s="10">
        <v>0</v>
      </c>
      <c r="Z59" s="10">
        <v>2</v>
      </c>
      <c r="AA59" s="10">
        <v>7</v>
      </c>
      <c r="AB59" s="10">
        <v>1</v>
      </c>
      <c r="AC59" s="10">
        <v>0</v>
      </c>
      <c r="AD59" s="10">
        <v>0.5</v>
      </c>
      <c r="AE59" s="10">
        <v>20</v>
      </c>
      <c r="AF59" s="10">
        <v>0.3</v>
      </c>
    </row>
    <row r="60" ht="16.5" spans="1:32">
      <c r="A60" s="4" t="s">
        <v>535</v>
      </c>
      <c r="B60" s="10" t="s">
        <v>508</v>
      </c>
      <c r="C60" s="25">
        <v>1246</v>
      </c>
      <c r="D60" s="25">
        <v>8942</v>
      </c>
      <c r="E60" s="25">
        <v>56582</v>
      </c>
      <c r="F60" s="25">
        <v>222753</v>
      </c>
      <c r="G60" s="25">
        <v>535821</v>
      </c>
      <c r="H60" s="25">
        <v>993901</v>
      </c>
      <c r="I60" s="25">
        <v>66</v>
      </c>
      <c r="J60" s="25">
        <v>4620</v>
      </c>
      <c r="K60" s="25">
        <v>100</v>
      </c>
      <c r="L60" s="27">
        <f t="shared" si="0"/>
        <v>797.673354735153</v>
      </c>
      <c r="M60" s="27">
        <f t="shared" si="1"/>
        <v>70</v>
      </c>
      <c r="N60" s="10">
        <v>320</v>
      </c>
      <c r="O60" s="10">
        <v>9</v>
      </c>
      <c r="P60" s="10">
        <v>1.5</v>
      </c>
      <c r="Q60" s="10">
        <v>50</v>
      </c>
      <c r="R60" s="10">
        <v>30</v>
      </c>
      <c r="S60" s="10">
        <v>30</v>
      </c>
      <c r="T60" s="10">
        <v>0</v>
      </c>
      <c r="U60" s="10">
        <v>65</v>
      </c>
      <c r="V60" s="10">
        <v>0</v>
      </c>
      <c r="W60" s="10">
        <v>0</v>
      </c>
      <c r="X60" s="10">
        <v>0</v>
      </c>
      <c r="Y60" s="10">
        <v>0</v>
      </c>
      <c r="Z60" s="10">
        <v>1.2</v>
      </c>
      <c r="AA60" s="10">
        <v>2.8</v>
      </c>
      <c r="AB60" s="10">
        <v>1</v>
      </c>
      <c r="AC60" s="10">
        <v>0</v>
      </c>
      <c r="AD60" s="10">
        <v>0.5</v>
      </c>
      <c r="AE60" s="10">
        <v>20</v>
      </c>
      <c r="AF60" s="10">
        <v>0.3</v>
      </c>
    </row>
    <row r="61" ht="16.5" spans="1:32">
      <c r="A61" s="4" t="s">
        <v>538</v>
      </c>
      <c r="B61" s="10" t="s">
        <v>508</v>
      </c>
      <c r="C61" s="25">
        <v>1246</v>
      </c>
      <c r="D61" s="25">
        <v>8942</v>
      </c>
      <c r="E61" s="25">
        <v>56582</v>
      </c>
      <c r="F61" s="25">
        <v>222753</v>
      </c>
      <c r="G61" s="25">
        <v>535821</v>
      </c>
      <c r="H61" s="25">
        <v>993901</v>
      </c>
      <c r="I61" s="25">
        <v>72</v>
      </c>
      <c r="J61" s="25">
        <v>5081</v>
      </c>
      <c r="K61" s="25">
        <v>100</v>
      </c>
      <c r="L61" s="27">
        <f t="shared" si="0"/>
        <v>797.673354735153</v>
      </c>
      <c r="M61" s="27">
        <f t="shared" si="1"/>
        <v>70.5694444444444</v>
      </c>
      <c r="N61" s="10">
        <v>320</v>
      </c>
      <c r="O61" s="10">
        <v>9</v>
      </c>
      <c r="P61" s="10">
        <v>1.5</v>
      </c>
      <c r="Q61" s="10">
        <v>50</v>
      </c>
      <c r="R61" s="10">
        <v>30</v>
      </c>
      <c r="S61" s="10">
        <v>30</v>
      </c>
      <c r="T61" s="10">
        <v>0</v>
      </c>
      <c r="U61" s="10">
        <v>65</v>
      </c>
      <c r="V61" s="10">
        <v>0</v>
      </c>
      <c r="W61" s="10">
        <v>0</v>
      </c>
      <c r="X61" s="10">
        <v>0</v>
      </c>
      <c r="Y61" s="10">
        <v>0</v>
      </c>
      <c r="Z61" s="10">
        <v>1.5</v>
      </c>
      <c r="AA61" s="10">
        <v>12</v>
      </c>
      <c r="AB61" s="10">
        <v>1</v>
      </c>
      <c r="AC61" s="10">
        <v>0</v>
      </c>
      <c r="AD61" s="10">
        <v>0.5</v>
      </c>
      <c r="AE61" s="10">
        <v>20</v>
      </c>
      <c r="AF61" s="10">
        <v>0.3</v>
      </c>
    </row>
    <row r="62" ht="16.5" spans="1:32">
      <c r="A62" s="4" t="s">
        <v>542</v>
      </c>
      <c r="B62" s="10" t="s">
        <v>508</v>
      </c>
      <c r="C62" s="25">
        <v>1246</v>
      </c>
      <c r="D62" s="25">
        <v>8942</v>
      </c>
      <c r="E62" s="25">
        <v>56582</v>
      </c>
      <c r="F62" s="25">
        <v>222753</v>
      </c>
      <c r="G62" s="25">
        <v>535821</v>
      </c>
      <c r="H62" s="25">
        <v>993901</v>
      </c>
      <c r="I62" s="25">
        <v>26</v>
      </c>
      <c r="J62" s="25">
        <v>1848</v>
      </c>
      <c r="K62" s="25">
        <v>100</v>
      </c>
      <c r="L62" s="27">
        <f t="shared" si="0"/>
        <v>797.673354735153</v>
      </c>
      <c r="M62" s="27">
        <f t="shared" si="1"/>
        <v>71.0769230769231</v>
      </c>
      <c r="N62" s="10">
        <v>320</v>
      </c>
      <c r="O62" s="10">
        <v>6</v>
      </c>
      <c r="P62" s="10">
        <v>1</v>
      </c>
      <c r="Q62" s="10">
        <v>50</v>
      </c>
      <c r="R62" s="10">
        <v>30</v>
      </c>
      <c r="S62" s="10">
        <v>30</v>
      </c>
      <c r="T62" s="10">
        <v>0</v>
      </c>
      <c r="U62" s="10">
        <v>65</v>
      </c>
      <c r="V62" s="10">
        <v>0</v>
      </c>
      <c r="W62" s="10">
        <v>100</v>
      </c>
      <c r="X62" s="10">
        <v>1</v>
      </c>
      <c r="Y62" s="10">
        <v>3</v>
      </c>
      <c r="Z62" s="10">
        <v>1</v>
      </c>
      <c r="AA62" s="10">
        <v>6</v>
      </c>
      <c r="AB62" s="10">
        <v>1</v>
      </c>
      <c r="AC62" s="10">
        <v>0</v>
      </c>
      <c r="AD62" s="10">
        <v>0.5</v>
      </c>
      <c r="AE62" s="10">
        <v>20</v>
      </c>
      <c r="AF62" s="10">
        <v>1</v>
      </c>
    </row>
    <row r="63" ht="16.5" spans="1:32">
      <c r="A63" s="4" t="s">
        <v>546</v>
      </c>
      <c r="B63" s="10" t="s">
        <v>508</v>
      </c>
      <c r="C63" s="25">
        <v>1246</v>
      </c>
      <c r="D63" s="25">
        <v>8942</v>
      </c>
      <c r="E63" s="25">
        <v>56582</v>
      </c>
      <c r="F63" s="25">
        <v>222753</v>
      </c>
      <c r="G63" s="25">
        <v>535821</v>
      </c>
      <c r="H63" s="25">
        <v>993901</v>
      </c>
      <c r="I63" s="25">
        <v>66</v>
      </c>
      <c r="J63" s="25">
        <v>4620</v>
      </c>
      <c r="K63" s="25">
        <v>100</v>
      </c>
      <c r="L63" s="27">
        <f t="shared" si="0"/>
        <v>797.673354735153</v>
      </c>
      <c r="M63" s="27">
        <f t="shared" si="1"/>
        <v>70</v>
      </c>
      <c r="N63" s="10">
        <v>340</v>
      </c>
      <c r="O63" s="10">
        <v>9</v>
      </c>
      <c r="P63" s="10">
        <v>1.5</v>
      </c>
      <c r="Q63" s="10">
        <v>50</v>
      </c>
      <c r="R63" s="10">
        <v>30</v>
      </c>
      <c r="S63" s="10">
        <v>30</v>
      </c>
      <c r="T63" s="10">
        <v>0</v>
      </c>
      <c r="U63" s="10">
        <v>65</v>
      </c>
      <c r="V63" s="10">
        <v>0</v>
      </c>
      <c r="W63" s="10">
        <v>0</v>
      </c>
      <c r="X63" s="10">
        <v>0</v>
      </c>
      <c r="Y63" s="10">
        <v>0</v>
      </c>
      <c r="Z63" s="10">
        <v>2</v>
      </c>
      <c r="AA63" s="10">
        <v>12</v>
      </c>
      <c r="AB63" s="10">
        <v>1</v>
      </c>
      <c r="AC63" s="10">
        <v>0</v>
      </c>
      <c r="AD63" s="10">
        <v>0.5</v>
      </c>
      <c r="AE63" s="10">
        <v>20</v>
      </c>
      <c r="AF63" s="10">
        <v>0</v>
      </c>
    </row>
    <row r="64" ht="16.5" spans="1:32">
      <c r="A64" s="4" t="s">
        <v>550</v>
      </c>
      <c r="B64" s="10" t="s">
        <v>508</v>
      </c>
      <c r="C64" s="25">
        <v>1246</v>
      </c>
      <c r="D64" s="25">
        <v>8942</v>
      </c>
      <c r="E64" s="25">
        <v>56582</v>
      </c>
      <c r="F64" s="25">
        <v>222753</v>
      </c>
      <c r="G64" s="25">
        <v>535821</v>
      </c>
      <c r="H64" s="25">
        <v>993901</v>
      </c>
      <c r="I64" s="25">
        <v>66</v>
      </c>
      <c r="J64" s="25">
        <v>4620</v>
      </c>
      <c r="K64" s="25">
        <v>100</v>
      </c>
      <c r="L64" s="27">
        <f t="shared" si="0"/>
        <v>797.673354735153</v>
      </c>
      <c r="M64" s="27">
        <f t="shared" si="1"/>
        <v>70</v>
      </c>
      <c r="N64" s="10">
        <v>320</v>
      </c>
      <c r="O64" s="10">
        <v>9</v>
      </c>
      <c r="P64" s="10">
        <v>1.5</v>
      </c>
      <c r="Q64" s="10">
        <v>50</v>
      </c>
      <c r="R64" s="10">
        <v>30</v>
      </c>
      <c r="S64" s="10">
        <v>30</v>
      </c>
      <c r="T64" s="10">
        <v>0</v>
      </c>
      <c r="U64" s="10">
        <v>65</v>
      </c>
      <c r="V64" s="10">
        <v>0</v>
      </c>
      <c r="W64" s="10">
        <v>0</v>
      </c>
      <c r="X64" s="10">
        <v>0</v>
      </c>
      <c r="Y64" s="10">
        <v>0</v>
      </c>
      <c r="Z64" s="10">
        <v>2</v>
      </c>
      <c r="AA64" s="10">
        <v>7</v>
      </c>
      <c r="AB64" s="10">
        <v>1</v>
      </c>
      <c r="AC64" s="10">
        <v>0</v>
      </c>
      <c r="AD64" s="10">
        <v>0.5</v>
      </c>
      <c r="AE64" s="10">
        <v>20</v>
      </c>
      <c r="AF64" s="10">
        <v>0.3</v>
      </c>
    </row>
    <row r="65" ht="16.5" spans="1:32">
      <c r="A65" s="4" t="s">
        <v>555</v>
      </c>
      <c r="B65" s="10" t="s">
        <v>508</v>
      </c>
      <c r="C65" s="25">
        <v>1246</v>
      </c>
      <c r="D65" s="25">
        <v>8942</v>
      </c>
      <c r="E65" s="25">
        <v>56582</v>
      </c>
      <c r="F65" s="25">
        <v>222753</v>
      </c>
      <c r="G65" s="25">
        <v>535821</v>
      </c>
      <c r="H65" s="25">
        <v>993901</v>
      </c>
      <c r="I65" s="25">
        <v>66</v>
      </c>
      <c r="J65" s="25">
        <v>4620</v>
      </c>
      <c r="K65" s="25">
        <v>100</v>
      </c>
      <c r="L65" s="27">
        <f t="shared" si="0"/>
        <v>797.673354735153</v>
      </c>
      <c r="M65" s="27">
        <f t="shared" si="1"/>
        <v>70</v>
      </c>
      <c r="N65" s="10">
        <v>320</v>
      </c>
      <c r="O65" s="10">
        <v>9</v>
      </c>
      <c r="P65" s="10">
        <v>1.5</v>
      </c>
      <c r="Q65" s="10">
        <v>50</v>
      </c>
      <c r="R65" s="10">
        <v>30</v>
      </c>
      <c r="S65" s="10">
        <v>30</v>
      </c>
      <c r="T65" s="10">
        <v>0</v>
      </c>
      <c r="U65" s="10">
        <v>65</v>
      </c>
      <c r="V65" s="10">
        <v>0</v>
      </c>
      <c r="W65" s="10">
        <v>0</v>
      </c>
      <c r="X65" s="10">
        <v>0</v>
      </c>
      <c r="Y65" s="10">
        <v>0</v>
      </c>
      <c r="Z65" s="10">
        <v>2</v>
      </c>
      <c r="AA65" s="10">
        <v>7</v>
      </c>
      <c r="AB65" s="10">
        <v>1</v>
      </c>
      <c r="AC65" s="10">
        <v>0</v>
      </c>
      <c r="AD65" s="10">
        <v>0.5</v>
      </c>
      <c r="AE65" s="10">
        <v>20</v>
      </c>
      <c r="AF65" s="10">
        <v>0.3</v>
      </c>
    </row>
    <row r="66" ht="16.5" spans="1:32">
      <c r="A66" s="4" t="s">
        <v>559</v>
      </c>
      <c r="B66" s="10" t="s">
        <v>508</v>
      </c>
      <c r="C66" s="25">
        <v>1246</v>
      </c>
      <c r="D66" s="25">
        <v>8942</v>
      </c>
      <c r="E66" s="25">
        <v>56582</v>
      </c>
      <c r="F66" s="25">
        <v>222753</v>
      </c>
      <c r="G66" s="25">
        <v>535821</v>
      </c>
      <c r="H66" s="25">
        <v>993901</v>
      </c>
      <c r="I66" s="25">
        <v>66</v>
      </c>
      <c r="J66" s="25">
        <v>4620</v>
      </c>
      <c r="K66" s="25">
        <v>100</v>
      </c>
      <c r="L66" s="27">
        <f t="shared" si="0"/>
        <v>797.673354735153</v>
      </c>
      <c r="M66" s="27">
        <f t="shared" si="1"/>
        <v>70</v>
      </c>
      <c r="N66" s="10">
        <v>320</v>
      </c>
      <c r="O66" s="10">
        <v>9</v>
      </c>
      <c r="P66" s="10">
        <v>1.5</v>
      </c>
      <c r="Q66" s="10">
        <v>50</v>
      </c>
      <c r="R66" s="10">
        <v>30</v>
      </c>
      <c r="S66" s="10">
        <v>30</v>
      </c>
      <c r="T66" s="10">
        <v>0</v>
      </c>
      <c r="U66" s="10">
        <v>65</v>
      </c>
      <c r="V66" s="10">
        <v>0</v>
      </c>
      <c r="W66" s="10">
        <v>0</v>
      </c>
      <c r="X66" s="10">
        <v>0</v>
      </c>
      <c r="Y66" s="10">
        <v>0</v>
      </c>
      <c r="Z66" s="10">
        <v>2</v>
      </c>
      <c r="AA66" s="10">
        <v>7</v>
      </c>
      <c r="AB66" s="10">
        <v>1</v>
      </c>
      <c r="AC66" s="10">
        <v>0</v>
      </c>
      <c r="AD66" s="10">
        <v>0.5</v>
      </c>
      <c r="AE66" s="10">
        <v>20</v>
      </c>
      <c r="AF66" s="10">
        <v>0.3</v>
      </c>
    </row>
    <row r="67" ht="16.5" spans="1:32">
      <c r="A67" s="4" t="s">
        <v>563</v>
      </c>
      <c r="B67" s="10" t="s">
        <v>508</v>
      </c>
      <c r="C67" s="25">
        <v>1177</v>
      </c>
      <c r="D67" s="25">
        <v>8445</v>
      </c>
      <c r="E67" s="25">
        <v>53438</v>
      </c>
      <c r="F67" s="25">
        <v>210378</v>
      </c>
      <c r="G67" s="25">
        <v>506053</v>
      </c>
      <c r="H67" s="25">
        <v>938684</v>
      </c>
      <c r="I67" s="25">
        <v>33</v>
      </c>
      <c r="J67" s="25">
        <v>2310</v>
      </c>
      <c r="K67" s="25">
        <v>100</v>
      </c>
      <c r="L67" s="27">
        <f t="shared" ref="L67:L88" si="2">IF(OR(C67="",H67=""),"",H67/C67)</f>
        <v>797.522514868309</v>
      </c>
      <c r="M67" s="27">
        <f t="shared" ref="M67:M88" si="3">IF(OR(I67="",J67=""),"",J67/I67)</f>
        <v>70</v>
      </c>
      <c r="N67" s="10">
        <v>280</v>
      </c>
      <c r="O67" s="10">
        <v>8</v>
      </c>
      <c r="P67" s="10">
        <v>1.5</v>
      </c>
      <c r="Q67" s="10">
        <v>50</v>
      </c>
      <c r="R67" s="10">
        <v>30</v>
      </c>
      <c r="S67" s="10">
        <v>30</v>
      </c>
      <c r="T67" s="10">
        <v>0</v>
      </c>
      <c r="U67" s="10">
        <v>65</v>
      </c>
      <c r="V67" s="10">
        <v>0</v>
      </c>
      <c r="W67" s="10">
        <v>0</v>
      </c>
      <c r="X67" s="10">
        <v>0</v>
      </c>
      <c r="Y67" s="10">
        <v>0</v>
      </c>
      <c r="Z67" s="10">
        <v>1.5</v>
      </c>
      <c r="AA67" s="10">
        <v>7</v>
      </c>
      <c r="AB67" s="10">
        <v>1</v>
      </c>
      <c r="AC67" s="10">
        <v>0</v>
      </c>
      <c r="AD67" s="10">
        <v>0.5</v>
      </c>
      <c r="AE67" s="10">
        <v>20</v>
      </c>
      <c r="AF67" s="10">
        <v>0.3</v>
      </c>
    </row>
    <row r="68" ht="16.5" spans="1:32">
      <c r="A68" s="4" t="s">
        <v>567</v>
      </c>
      <c r="B68" s="10" t="s">
        <v>508</v>
      </c>
      <c r="C68" s="25">
        <v>1108</v>
      </c>
      <c r="D68" s="25">
        <v>7948</v>
      </c>
      <c r="E68" s="25">
        <v>50295</v>
      </c>
      <c r="F68" s="25">
        <v>198003</v>
      </c>
      <c r="G68" s="25">
        <v>476285</v>
      </c>
      <c r="H68" s="25">
        <v>883467</v>
      </c>
      <c r="I68" s="25">
        <v>59</v>
      </c>
      <c r="J68" s="25">
        <v>4158</v>
      </c>
      <c r="K68" s="25">
        <v>100</v>
      </c>
      <c r="L68" s="27">
        <f t="shared" si="2"/>
        <v>797.352888086643</v>
      </c>
      <c r="M68" s="27">
        <f t="shared" si="3"/>
        <v>70.4745762711864</v>
      </c>
      <c r="N68" s="10">
        <v>320</v>
      </c>
      <c r="O68" s="10">
        <v>9</v>
      </c>
      <c r="P68" s="10">
        <v>1.5</v>
      </c>
      <c r="Q68" s="10">
        <v>50</v>
      </c>
      <c r="R68" s="10">
        <v>30</v>
      </c>
      <c r="S68" s="10">
        <v>30</v>
      </c>
      <c r="T68" s="10">
        <v>0</v>
      </c>
      <c r="U68" s="10">
        <v>65</v>
      </c>
      <c r="V68" s="10">
        <v>0</v>
      </c>
      <c r="W68" s="10">
        <v>0</v>
      </c>
      <c r="X68" s="10">
        <v>0</v>
      </c>
      <c r="Y68" s="10">
        <v>0</v>
      </c>
      <c r="Z68" s="10">
        <v>1.5</v>
      </c>
      <c r="AA68" s="10">
        <v>2.8</v>
      </c>
      <c r="AB68" s="10">
        <v>1</v>
      </c>
      <c r="AC68" s="10">
        <v>0</v>
      </c>
      <c r="AD68" s="10">
        <v>0.5</v>
      </c>
      <c r="AE68" s="10">
        <v>20</v>
      </c>
      <c r="AF68" s="10">
        <v>0</v>
      </c>
    </row>
    <row r="69" ht="16.5" spans="1:32">
      <c r="A69" s="4" t="s">
        <v>570</v>
      </c>
      <c r="B69" s="10" t="s">
        <v>508</v>
      </c>
      <c r="C69" s="25">
        <v>1108</v>
      </c>
      <c r="D69" s="25">
        <v>7948</v>
      </c>
      <c r="E69" s="25">
        <v>50295</v>
      </c>
      <c r="F69" s="25">
        <v>198003</v>
      </c>
      <c r="G69" s="25">
        <v>476285</v>
      </c>
      <c r="H69" s="25">
        <v>883467</v>
      </c>
      <c r="I69" s="25">
        <v>56</v>
      </c>
      <c r="J69" s="25">
        <v>3927</v>
      </c>
      <c r="K69" s="25">
        <v>100</v>
      </c>
      <c r="L69" s="27">
        <f t="shared" si="2"/>
        <v>797.352888086643</v>
      </c>
      <c r="M69" s="27">
        <f t="shared" si="3"/>
        <v>70.125</v>
      </c>
      <c r="N69" s="10">
        <v>110</v>
      </c>
      <c r="O69" s="10">
        <v>7</v>
      </c>
      <c r="P69" s="10">
        <v>1.25</v>
      </c>
      <c r="Q69" s="10">
        <v>35</v>
      </c>
      <c r="R69" s="10">
        <v>20</v>
      </c>
      <c r="S69" s="10">
        <v>20</v>
      </c>
      <c r="T69" s="10">
        <v>5</v>
      </c>
      <c r="U69" s="10">
        <v>65</v>
      </c>
      <c r="V69" s="10">
        <v>79.3</v>
      </c>
      <c r="W69" s="10">
        <v>100</v>
      </c>
      <c r="X69" s="10">
        <v>1</v>
      </c>
      <c r="Y69" s="10">
        <v>3</v>
      </c>
      <c r="Z69" s="10">
        <v>1</v>
      </c>
      <c r="AA69" s="10">
        <v>2.3</v>
      </c>
      <c r="AB69" s="10">
        <v>1</v>
      </c>
      <c r="AC69" s="10">
        <v>0</v>
      </c>
      <c r="AD69" s="10">
        <v>0.5</v>
      </c>
      <c r="AE69" s="10">
        <v>10</v>
      </c>
      <c r="AF69" s="10">
        <v>1</v>
      </c>
    </row>
    <row r="70" ht="16.5" spans="1:32">
      <c r="A70" s="4" t="s">
        <v>574</v>
      </c>
      <c r="B70" s="10" t="s">
        <v>508</v>
      </c>
      <c r="C70" s="25">
        <v>1108</v>
      </c>
      <c r="D70" s="25">
        <v>7948</v>
      </c>
      <c r="E70" s="25">
        <v>50295</v>
      </c>
      <c r="F70" s="25">
        <v>198003</v>
      </c>
      <c r="G70" s="25">
        <v>476285</v>
      </c>
      <c r="H70" s="25">
        <v>883467</v>
      </c>
      <c r="I70" s="25">
        <v>66</v>
      </c>
      <c r="J70" s="25">
        <v>4620</v>
      </c>
      <c r="K70" s="25">
        <v>100</v>
      </c>
      <c r="L70" s="27">
        <f t="shared" si="2"/>
        <v>797.352888086643</v>
      </c>
      <c r="M70" s="27">
        <f t="shared" si="3"/>
        <v>70</v>
      </c>
      <c r="N70" s="10">
        <v>320</v>
      </c>
      <c r="O70" s="10">
        <v>9</v>
      </c>
      <c r="P70" s="10">
        <v>1.5</v>
      </c>
      <c r="Q70" s="10">
        <v>50</v>
      </c>
      <c r="R70" s="10">
        <v>30</v>
      </c>
      <c r="S70" s="10">
        <v>30</v>
      </c>
      <c r="T70" s="10">
        <v>0</v>
      </c>
      <c r="U70" s="10">
        <v>65</v>
      </c>
      <c r="V70" s="10">
        <v>0</v>
      </c>
      <c r="W70" s="10">
        <v>0</v>
      </c>
      <c r="X70" s="10">
        <v>0</v>
      </c>
      <c r="Y70" s="10">
        <v>0</v>
      </c>
      <c r="Z70" s="10">
        <v>2</v>
      </c>
      <c r="AA70" s="10">
        <v>7</v>
      </c>
      <c r="AB70" s="10">
        <v>1</v>
      </c>
      <c r="AC70" s="10">
        <v>0</v>
      </c>
      <c r="AD70" s="10">
        <v>0.5</v>
      </c>
      <c r="AE70" s="10">
        <v>20</v>
      </c>
      <c r="AF70" s="10">
        <v>0.3</v>
      </c>
    </row>
    <row r="71" ht="16.5" spans="1:32">
      <c r="A71" s="4" t="s">
        <v>578</v>
      </c>
      <c r="B71" s="10" t="s">
        <v>508</v>
      </c>
      <c r="C71" s="25">
        <v>1108</v>
      </c>
      <c r="D71" s="25">
        <v>7948</v>
      </c>
      <c r="E71" s="25">
        <v>50295</v>
      </c>
      <c r="F71" s="25">
        <v>198003</v>
      </c>
      <c r="G71" s="25">
        <v>476285</v>
      </c>
      <c r="H71" s="25">
        <v>883467</v>
      </c>
      <c r="I71" s="25">
        <v>66</v>
      </c>
      <c r="J71" s="25">
        <v>4620</v>
      </c>
      <c r="K71" s="25">
        <v>100</v>
      </c>
      <c r="L71" s="27">
        <f t="shared" si="2"/>
        <v>797.352888086643</v>
      </c>
      <c r="M71" s="27">
        <f t="shared" si="3"/>
        <v>70</v>
      </c>
      <c r="N71" s="10">
        <v>320</v>
      </c>
      <c r="O71" s="10">
        <v>9</v>
      </c>
      <c r="P71" s="10">
        <v>1.5</v>
      </c>
      <c r="Q71" s="10">
        <v>50</v>
      </c>
      <c r="R71" s="10">
        <v>30</v>
      </c>
      <c r="S71" s="10">
        <v>30</v>
      </c>
      <c r="T71" s="10">
        <v>0</v>
      </c>
      <c r="U71" s="10">
        <v>65</v>
      </c>
      <c r="V71" s="10">
        <v>0</v>
      </c>
      <c r="W71" s="10">
        <v>0</v>
      </c>
      <c r="X71" s="10">
        <v>0</v>
      </c>
      <c r="Y71" s="10">
        <v>0</v>
      </c>
      <c r="Z71" s="10">
        <v>1.5</v>
      </c>
      <c r="AA71" s="10">
        <v>2.8</v>
      </c>
      <c r="AB71" s="10">
        <v>1</v>
      </c>
      <c r="AC71" s="10">
        <v>0</v>
      </c>
      <c r="AD71" s="10">
        <v>0.5</v>
      </c>
      <c r="AE71" s="10">
        <v>20</v>
      </c>
      <c r="AF71" s="10">
        <v>0</v>
      </c>
    </row>
    <row r="72" ht="16.5" spans="1:32">
      <c r="A72" s="4" t="s">
        <v>581</v>
      </c>
      <c r="B72" s="10" t="s">
        <v>508</v>
      </c>
      <c r="C72" s="25">
        <v>831</v>
      </c>
      <c r="D72" s="25">
        <v>5961</v>
      </c>
      <c r="E72" s="25">
        <v>37721</v>
      </c>
      <c r="F72" s="25">
        <v>148502</v>
      </c>
      <c r="G72" s="25">
        <v>357214</v>
      </c>
      <c r="H72" s="25">
        <v>662600</v>
      </c>
      <c r="I72" s="25">
        <v>49</v>
      </c>
      <c r="J72" s="25">
        <v>3465</v>
      </c>
      <c r="K72" s="25">
        <v>100</v>
      </c>
      <c r="L72" s="27">
        <f t="shared" si="2"/>
        <v>797.352587244284</v>
      </c>
      <c r="M72" s="27">
        <f t="shared" si="3"/>
        <v>70.7142857142857</v>
      </c>
      <c r="N72" s="10">
        <v>170</v>
      </c>
      <c r="O72" s="10">
        <v>7</v>
      </c>
      <c r="P72" s="10">
        <v>1.25</v>
      </c>
      <c r="Q72" s="10">
        <v>35</v>
      </c>
      <c r="R72" s="10">
        <v>20</v>
      </c>
      <c r="S72" s="10">
        <v>20</v>
      </c>
      <c r="T72" s="10">
        <v>0</v>
      </c>
      <c r="U72" s="10">
        <v>65</v>
      </c>
      <c r="V72" s="10">
        <v>0</v>
      </c>
      <c r="W72" s="10">
        <v>0</v>
      </c>
      <c r="X72" s="10">
        <v>0</v>
      </c>
      <c r="Y72" s="10">
        <v>0</v>
      </c>
      <c r="Z72" s="10">
        <v>1.5</v>
      </c>
      <c r="AA72" s="10">
        <v>7</v>
      </c>
      <c r="AB72" s="10">
        <v>1</v>
      </c>
      <c r="AC72" s="10">
        <v>0</v>
      </c>
      <c r="AD72" s="10">
        <v>0.5</v>
      </c>
      <c r="AE72" s="10">
        <v>20</v>
      </c>
      <c r="AF72" s="10">
        <v>0.3</v>
      </c>
    </row>
    <row r="73" ht="16.5" spans="1:32">
      <c r="A73" s="4" t="s">
        <v>585</v>
      </c>
      <c r="B73" s="10" t="s">
        <v>508</v>
      </c>
      <c r="C73" s="25">
        <v>415</v>
      </c>
      <c r="D73" s="25">
        <v>2981</v>
      </c>
      <c r="E73" s="25">
        <v>18861</v>
      </c>
      <c r="F73" s="25">
        <v>74251</v>
      </c>
      <c r="G73" s="25">
        <v>178607</v>
      </c>
      <c r="H73" s="25">
        <v>331300</v>
      </c>
      <c r="I73" s="25">
        <v>49</v>
      </c>
      <c r="J73" s="25">
        <v>3465</v>
      </c>
      <c r="K73" s="25">
        <v>100</v>
      </c>
      <c r="L73" s="27">
        <f t="shared" si="2"/>
        <v>798.313253012048</v>
      </c>
      <c r="M73" s="27">
        <f t="shared" si="3"/>
        <v>70.7142857142857</v>
      </c>
      <c r="N73" s="10">
        <v>200</v>
      </c>
      <c r="O73" s="10">
        <v>9</v>
      </c>
      <c r="P73" s="10">
        <v>1.5</v>
      </c>
      <c r="Q73" s="10">
        <v>50</v>
      </c>
      <c r="R73" s="10">
        <v>30</v>
      </c>
      <c r="S73" s="10">
        <v>30</v>
      </c>
      <c r="T73" s="10">
        <v>0</v>
      </c>
      <c r="U73" s="10">
        <v>65</v>
      </c>
      <c r="V73" s="10">
        <v>0</v>
      </c>
      <c r="W73" s="10">
        <v>0</v>
      </c>
      <c r="X73" s="10">
        <v>0</v>
      </c>
      <c r="Y73" s="10">
        <v>0</v>
      </c>
      <c r="Z73" s="10">
        <v>2</v>
      </c>
      <c r="AA73" s="10">
        <v>7</v>
      </c>
      <c r="AB73" s="10">
        <v>1</v>
      </c>
      <c r="AC73" s="10">
        <v>0</v>
      </c>
      <c r="AD73" s="10">
        <v>0.5</v>
      </c>
      <c r="AE73" s="10">
        <v>20</v>
      </c>
      <c r="AF73" s="10">
        <v>0</v>
      </c>
    </row>
    <row r="74" ht="16.5" spans="1:32">
      <c r="A74" s="4" t="s">
        <v>588</v>
      </c>
      <c r="B74" s="10" t="s">
        <v>589</v>
      </c>
      <c r="C74" s="25">
        <v>3210</v>
      </c>
      <c r="D74" s="25">
        <v>15897</v>
      </c>
      <c r="E74" s="25">
        <v>100590</v>
      </c>
      <c r="F74" s="25">
        <v>396006</v>
      </c>
      <c r="G74" s="25">
        <v>952571</v>
      </c>
      <c r="H74" s="25">
        <v>1766935</v>
      </c>
      <c r="I74" s="25">
        <v>66</v>
      </c>
      <c r="J74" s="25">
        <v>4620</v>
      </c>
      <c r="K74" s="25">
        <v>100</v>
      </c>
      <c r="L74" s="27">
        <f t="shared" si="2"/>
        <v>550.447040498442</v>
      </c>
      <c r="M74" s="27">
        <f t="shared" si="3"/>
        <v>70</v>
      </c>
      <c r="N74" s="10">
        <v>400</v>
      </c>
      <c r="O74" s="10">
        <v>8</v>
      </c>
      <c r="P74" s="10">
        <v>1.5</v>
      </c>
      <c r="Q74" s="10">
        <v>50</v>
      </c>
      <c r="R74" s="10">
        <v>30</v>
      </c>
      <c r="S74" s="10">
        <v>30</v>
      </c>
      <c r="T74" s="10">
        <v>0</v>
      </c>
      <c r="U74" s="10">
        <v>65</v>
      </c>
      <c r="V74" s="10">
        <v>0</v>
      </c>
      <c r="W74" s="10">
        <v>0</v>
      </c>
      <c r="X74" s="10">
        <v>0</v>
      </c>
      <c r="Y74" s="10">
        <v>0</v>
      </c>
      <c r="Z74" s="10">
        <v>1.5</v>
      </c>
      <c r="AA74" s="10">
        <v>2.8</v>
      </c>
      <c r="AB74" s="10">
        <v>1</v>
      </c>
      <c r="AC74" s="10">
        <v>0</v>
      </c>
      <c r="AD74" s="10">
        <v>0.5</v>
      </c>
      <c r="AE74" s="10">
        <v>20</v>
      </c>
      <c r="AF74" s="10">
        <v>0</v>
      </c>
    </row>
    <row r="75" ht="16.5" spans="1:32">
      <c r="A75" s="4" t="s">
        <v>592</v>
      </c>
      <c r="B75" s="10" t="s">
        <v>589</v>
      </c>
      <c r="C75" s="25">
        <v>2008</v>
      </c>
      <c r="D75" s="25">
        <v>14407</v>
      </c>
      <c r="E75" s="25">
        <v>91159</v>
      </c>
      <c r="F75" s="25">
        <v>358880</v>
      </c>
      <c r="G75" s="25">
        <v>863267</v>
      </c>
      <c r="H75" s="25">
        <v>1601284</v>
      </c>
      <c r="I75" s="25">
        <v>53</v>
      </c>
      <c r="J75" s="25">
        <v>3696</v>
      </c>
      <c r="K75" s="25">
        <v>100</v>
      </c>
      <c r="L75" s="27">
        <f t="shared" si="2"/>
        <v>797.45219123506</v>
      </c>
      <c r="M75" s="27">
        <f t="shared" si="3"/>
        <v>69.7358490566038</v>
      </c>
      <c r="N75" s="10">
        <v>320</v>
      </c>
      <c r="O75" s="10">
        <v>9</v>
      </c>
      <c r="P75" s="10">
        <v>1.5</v>
      </c>
      <c r="Q75" s="10">
        <v>50</v>
      </c>
      <c r="R75" s="10">
        <v>30</v>
      </c>
      <c r="S75" s="10">
        <v>30</v>
      </c>
      <c r="T75" s="10">
        <v>0</v>
      </c>
      <c r="U75" s="10">
        <v>65</v>
      </c>
      <c r="V75" s="10">
        <v>0</v>
      </c>
      <c r="W75" s="10">
        <v>0</v>
      </c>
      <c r="X75" s="10">
        <v>0</v>
      </c>
      <c r="Y75" s="10">
        <v>0</v>
      </c>
      <c r="Z75" s="10">
        <v>1.5</v>
      </c>
      <c r="AA75" s="10">
        <v>2.8</v>
      </c>
      <c r="AB75" s="10">
        <v>1</v>
      </c>
      <c r="AC75" s="10">
        <v>0</v>
      </c>
      <c r="AD75" s="10">
        <v>0.5</v>
      </c>
      <c r="AE75" s="10">
        <v>20</v>
      </c>
      <c r="AF75" s="10">
        <v>0</v>
      </c>
    </row>
    <row r="76" ht="16.5" spans="1:32">
      <c r="A76" s="4" t="s">
        <v>595</v>
      </c>
      <c r="B76" s="10" t="s">
        <v>589</v>
      </c>
      <c r="C76" s="25">
        <v>1661</v>
      </c>
      <c r="D76" s="25">
        <v>11923</v>
      </c>
      <c r="E76" s="25">
        <v>75442</v>
      </c>
      <c r="F76" s="25">
        <v>297005</v>
      </c>
      <c r="G76" s="25">
        <v>714428</v>
      </c>
      <c r="H76" s="25">
        <v>1325201</v>
      </c>
      <c r="I76" s="25">
        <v>66</v>
      </c>
      <c r="J76" s="25">
        <v>4620</v>
      </c>
      <c r="K76" s="25">
        <v>100</v>
      </c>
      <c r="L76" s="27">
        <f t="shared" si="2"/>
        <v>797.833232992173</v>
      </c>
      <c r="M76" s="27">
        <f t="shared" si="3"/>
        <v>70</v>
      </c>
      <c r="N76" s="10">
        <v>320</v>
      </c>
      <c r="O76" s="10">
        <v>9</v>
      </c>
      <c r="P76" s="10">
        <v>1.5</v>
      </c>
      <c r="Q76" s="10">
        <v>50</v>
      </c>
      <c r="R76" s="10">
        <v>30</v>
      </c>
      <c r="S76" s="10">
        <v>30</v>
      </c>
      <c r="T76" s="10">
        <v>0</v>
      </c>
      <c r="U76" s="10">
        <v>65</v>
      </c>
      <c r="V76" s="10">
        <v>0</v>
      </c>
      <c r="W76" s="10">
        <v>0</v>
      </c>
      <c r="X76" s="10">
        <v>0</v>
      </c>
      <c r="Y76" s="10">
        <v>0</v>
      </c>
      <c r="Z76" s="10">
        <v>2</v>
      </c>
      <c r="AA76" s="10">
        <v>7</v>
      </c>
      <c r="AB76" s="10">
        <v>1</v>
      </c>
      <c r="AC76" s="10">
        <v>0</v>
      </c>
      <c r="AD76" s="10">
        <v>0.5</v>
      </c>
      <c r="AE76" s="10">
        <v>20</v>
      </c>
      <c r="AF76" s="10">
        <v>0.3</v>
      </c>
    </row>
    <row r="77" ht="16.5" spans="1:32">
      <c r="A77" s="4" t="s">
        <v>598</v>
      </c>
      <c r="B77" s="10" t="s">
        <v>589</v>
      </c>
      <c r="C77" s="25">
        <v>1523</v>
      </c>
      <c r="D77" s="25">
        <v>10929</v>
      </c>
      <c r="E77" s="25">
        <v>69155</v>
      </c>
      <c r="F77" s="25">
        <v>272254</v>
      </c>
      <c r="G77" s="25">
        <v>654892</v>
      </c>
      <c r="H77" s="25">
        <v>1214768</v>
      </c>
      <c r="I77" s="25">
        <v>66</v>
      </c>
      <c r="J77" s="25">
        <v>4620</v>
      </c>
      <c r="K77" s="25">
        <v>100</v>
      </c>
      <c r="L77" s="27">
        <f t="shared" si="2"/>
        <v>797.61523309258</v>
      </c>
      <c r="M77" s="27">
        <f t="shared" si="3"/>
        <v>70</v>
      </c>
      <c r="N77" s="10">
        <v>320</v>
      </c>
      <c r="O77" s="10">
        <v>9</v>
      </c>
      <c r="P77" s="10">
        <v>1.5</v>
      </c>
      <c r="Q77" s="10">
        <v>50</v>
      </c>
      <c r="R77" s="10">
        <v>30</v>
      </c>
      <c r="S77" s="10">
        <v>30</v>
      </c>
      <c r="T77" s="10">
        <v>0</v>
      </c>
      <c r="U77" s="10">
        <v>65</v>
      </c>
      <c r="V77" s="10">
        <v>0</v>
      </c>
      <c r="W77" s="10">
        <v>0</v>
      </c>
      <c r="X77" s="10">
        <v>0</v>
      </c>
      <c r="Y77" s="10">
        <v>0</v>
      </c>
      <c r="Z77" s="10">
        <v>2</v>
      </c>
      <c r="AA77" s="10">
        <v>7</v>
      </c>
      <c r="AB77" s="10">
        <v>1</v>
      </c>
      <c r="AC77" s="10">
        <v>0</v>
      </c>
      <c r="AD77" s="10">
        <v>0.5</v>
      </c>
      <c r="AE77" s="10">
        <v>20</v>
      </c>
      <c r="AF77" s="10">
        <v>0.3</v>
      </c>
    </row>
    <row r="78" ht="16.5" spans="1:32">
      <c r="A78" s="4" t="s">
        <v>601</v>
      </c>
      <c r="B78" s="10" t="s">
        <v>589</v>
      </c>
      <c r="C78" s="25">
        <v>1385</v>
      </c>
      <c r="D78" s="25">
        <v>9936</v>
      </c>
      <c r="E78" s="25">
        <v>62869</v>
      </c>
      <c r="F78" s="25">
        <v>247504</v>
      </c>
      <c r="G78" s="25">
        <v>595357</v>
      </c>
      <c r="H78" s="25">
        <v>1104334</v>
      </c>
      <c r="I78" s="25">
        <v>66</v>
      </c>
      <c r="J78" s="25">
        <v>4620</v>
      </c>
      <c r="K78" s="25">
        <v>100</v>
      </c>
      <c r="L78" s="27">
        <f t="shared" si="2"/>
        <v>797.353068592058</v>
      </c>
      <c r="M78" s="27">
        <f t="shared" si="3"/>
        <v>70</v>
      </c>
      <c r="N78" s="10">
        <v>640</v>
      </c>
      <c r="O78" s="10">
        <v>13</v>
      </c>
      <c r="P78" s="10">
        <v>1.5</v>
      </c>
      <c r="Q78" s="10">
        <v>50</v>
      </c>
      <c r="R78" s="10">
        <v>30</v>
      </c>
      <c r="S78" s="10">
        <v>30</v>
      </c>
      <c r="T78" s="10">
        <v>0</v>
      </c>
      <c r="U78" s="10">
        <v>65</v>
      </c>
      <c r="V78" s="10">
        <v>0</v>
      </c>
      <c r="W78" s="10">
        <v>0</v>
      </c>
      <c r="X78" s="10">
        <v>0</v>
      </c>
      <c r="Y78" s="10">
        <v>0</v>
      </c>
      <c r="Z78" s="10">
        <v>1.5</v>
      </c>
      <c r="AA78" s="10">
        <v>2.8</v>
      </c>
      <c r="AB78" s="10">
        <v>1</v>
      </c>
      <c r="AC78" s="10">
        <v>0</v>
      </c>
      <c r="AD78" s="10">
        <v>0.5</v>
      </c>
      <c r="AE78" s="10">
        <v>50</v>
      </c>
      <c r="AF78" s="10">
        <v>0.3</v>
      </c>
    </row>
    <row r="79" ht="16.5" spans="1:32">
      <c r="A79" s="4" t="s">
        <v>605</v>
      </c>
      <c r="B79" s="10" t="s">
        <v>589</v>
      </c>
      <c r="C79" s="25">
        <v>1385</v>
      </c>
      <c r="D79" s="25">
        <v>9936</v>
      </c>
      <c r="E79" s="25">
        <v>62869</v>
      </c>
      <c r="F79" s="25">
        <v>247504</v>
      </c>
      <c r="G79" s="25">
        <v>595357</v>
      </c>
      <c r="H79" s="25">
        <v>1104334</v>
      </c>
      <c r="I79" s="25">
        <v>59</v>
      </c>
      <c r="J79" s="25">
        <v>4158</v>
      </c>
      <c r="K79" s="25">
        <v>100</v>
      </c>
      <c r="L79" s="27">
        <f t="shared" si="2"/>
        <v>797.353068592058</v>
      </c>
      <c r="M79" s="27">
        <f t="shared" si="3"/>
        <v>70.4745762711864</v>
      </c>
      <c r="N79" s="10">
        <v>320</v>
      </c>
      <c r="O79" s="10">
        <v>9</v>
      </c>
      <c r="P79" s="10">
        <v>1.5</v>
      </c>
      <c r="Q79" s="10">
        <v>50</v>
      </c>
      <c r="R79" s="10">
        <v>30</v>
      </c>
      <c r="S79" s="10">
        <v>30</v>
      </c>
      <c r="T79" s="10">
        <v>0</v>
      </c>
      <c r="U79" s="10">
        <v>65</v>
      </c>
      <c r="V79" s="10">
        <v>0</v>
      </c>
      <c r="W79" s="10">
        <v>0</v>
      </c>
      <c r="X79" s="10">
        <v>0</v>
      </c>
      <c r="Y79" s="10">
        <v>0</v>
      </c>
      <c r="Z79" s="10">
        <v>1.5</v>
      </c>
      <c r="AA79" s="10">
        <v>2.8</v>
      </c>
      <c r="AB79" s="10">
        <v>1</v>
      </c>
      <c r="AC79" s="10">
        <v>0</v>
      </c>
      <c r="AD79" s="10">
        <v>0.5</v>
      </c>
      <c r="AE79" s="10">
        <v>20</v>
      </c>
      <c r="AF79" s="10">
        <v>0</v>
      </c>
    </row>
    <row r="80" ht="16.5" spans="1:32">
      <c r="A80" s="4" t="s">
        <v>608</v>
      </c>
      <c r="B80" s="10" t="s">
        <v>609</v>
      </c>
      <c r="C80" s="25">
        <v>3738</v>
      </c>
      <c r="D80" s="25">
        <v>26826</v>
      </c>
      <c r="E80" s="25">
        <v>169745</v>
      </c>
      <c r="F80" s="25">
        <v>668260</v>
      </c>
      <c r="G80" s="25">
        <v>1607463</v>
      </c>
      <c r="H80" s="25">
        <v>2981702</v>
      </c>
      <c r="I80" s="25">
        <v>66</v>
      </c>
      <c r="J80" s="25">
        <v>4620</v>
      </c>
      <c r="K80" s="25">
        <v>100</v>
      </c>
      <c r="L80" s="27">
        <f t="shared" si="2"/>
        <v>797.673087212413</v>
      </c>
      <c r="M80" s="27">
        <f t="shared" si="3"/>
        <v>70</v>
      </c>
      <c r="N80" s="10">
        <v>320</v>
      </c>
      <c r="O80" s="10">
        <v>11</v>
      </c>
      <c r="P80" s="10">
        <v>1.75</v>
      </c>
      <c r="Q80" s="10">
        <v>100</v>
      </c>
      <c r="R80" s="10">
        <v>30</v>
      </c>
      <c r="S80" s="10">
        <v>30</v>
      </c>
      <c r="T80" s="10">
        <v>0</v>
      </c>
      <c r="U80" s="10">
        <v>65</v>
      </c>
      <c r="V80" s="10">
        <v>0</v>
      </c>
      <c r="W80" s="10">
        <v>0</v>
      </c>
      <c r="X80" s="10">
        <v>0</v>
      </c>
      <c r="Y80" s="10">
        <v>0</v>
      </c>
      <c r="Z80" s="10">
        <v>2</v>
      </c>
      <c r="AA80" s="10">
        <v>12</v>
      </c>
      <c r="AB80" s="10">
        <v>1</v>
      </c>
      <c r="AC80" s="10">
        <v>0</v>
      </c>
      <c r="AD80" s="10">
        <v>0.5</v>
      </c>
      <c r="AE80" s="10">
        <v>0</v>
      </c>
      <c r="AF80" s="10">
        <v>0</v>
      </c>
    </row>
    <row r="81" ht="16.5" spans="1:32">
      <c r="A81" s="4" t="s">
        <v>611</v>
      </c>
      <c r="B81" s="10" t="s">
        <v>609</v>
      </c>
      <c r="C81" s="25">
        <v>3461</v>
      </c>
      <c r="D81" s="25">
        <v>24839</v>
      </c>
      <c r="E81" s="25">
        <v>157171</v>
      </c>
      <c r="F81" s="25">
        <v>618759</v>
      </c>
      <c r="G81" s="25">
        <v>1488392</v>
      </c>
      <c r="H81" s="25">
        <v>2760835</v>
      </c>
      <c r="I81" s="25">
        <v>66</v>
      </c>
      <c r="J81" s="25">
        <v>4620</v>
      </c>
      <c r="K81" s="25">
        <v>100</v>
      </c>
      <c r="L81" s="27">
        <f t="shared" si="2"/>
        <v>797.698642010979</v>
      </c>
      <c r="M81" s="27">
        <f t="shared" si="3"/>
        <v>70</v>
      </c>
      <c r="N81" s="10">
        <v>280</v>
      </c>
      <c r="O81" s="10">
        <v>10</v>
      </c>
      <c r="P81" s="10">
        <v>1.75</v>
      </c>
      <c r="Q81" s="10">
        <v>100</v>
      </c>
      <c r="R81" s="10">
        <v>30</v>
      </c>
      <c r="S81" s="10">
        <v>30</v>
      </c>
      <c r="T81" s="10">
        <v>0</v>
      </c>
      <c r="U81" s="10">
        <v>65</v>
      </c>
      <c r="V81" s="10">
        <v>0</v>
      </c>
      <c r="W81" s="10">
        <v>0</v>
      </c>
      <c r="X81" s="10">
        <v>0</v>
      </c>
      <c r="Y81" s="10">
        <v>0</v>
      </c>
      <c r="Z81" s="10">
        <v>2</v>
      </c>
      <c r="AA81" s="10">
        <v>12</v>
      </c>
      <c r="AB81" s="10">
        <v>1</v>
      </c>
      <c r="AC81" s="10">
        <v>0</v>
      </c>
      <c r="AD81" s="10">
        <v>0.5</v>
      </c>
      <c r="AE81" s="10">
        <v>0</v>
      </c>
      <c r="AF81" s="10">
        <v>0</v>
      </c>
    </row>
    <row r="82" ht="16.5" spans="1:32">
      <c r="A82" s="4" t="s">
        <v>615</v>
      </c>
      <c r="B82" s="10" t="s">
        <v>609</v>
      </c>
      <c r="C82" s="25">
        <v>3323</v>
      </c>
      <c r="D82" s="25">
        <v>23845</v>
      </c>
      <c r="E82" s="25">
        <v>150884</v>
      </c>
      <c r="F82" s="25">
        <v>594009</v>
      </c>
      <c r="G82" s="25">
        <v>1428856</v>
      </c>
      <c r="H82" s="25">
        <v>2650402</v>
      </c>
      <c r="I82" s="25">
        <v>66</v>
      </c>
      <c r="J82" s="25">
        <v>4620</v>
      </c>
      <c r="K82" s="25">
        <v>100</v>
      </c>
      <c r="L82" s="27">
        <f t="shared" si="2"/>
        <v>797.593138730063</v>
      </c>
      <c r="M82" s="27">
        <f t="shared" si="3"/>
        <v>70</v>
      </c>
      <c r="N82" s="10">
        <v>300</v>
      </c>
      <c r="O82" s="10">
        <v>15</v>
      </c>
      <c r="P82" s="10">
        <v>1.75</v>
      </c>
      <c r="Q82" s="10">
        <v>100</v>
      </c>
      <c r="R82" s="10">
        <v>30</v>
      </c>
      <c r="S82" s="10">
        <v>30</v>
      </c>
      <c r="T82" s="10">
        <v>0</v>
      </c>
      <c r="U82" s="10">
        <v>65</v>
      </c>
      <c r="V82" s="10">
        <v>0</v>
      </c>
      <c r="W82" s="10">
        <v>0</v>
      </c>
      <c r="X82" s="10">
        <v>0</v>
      </c>
      <c r="Y82" s="10">
        <v>0</v>
      </c>
      <c r="Z82" s="10">
        <v>2</v>
      </c>
      <c r="AA82" s="10">
        <v>12</v>
      </c>
      <c r="AB82" s="10">
        <v>1</v>
      </c>
      <c r="AC82" s="10">
        <v>0</v>
      </c>
      <c r="AD82" s="10">
        <v>0.5</v>
      </c>
      <c r="AE82" s="10">
        <v>0</v>
      </c>
      <c r="AF82" s="10">
        <v>0</v>
      </c>
    </row>
    <row r="83" ht="16.5" spans="1:32">
      <c r="A83" s="4" t="s">
        <v>617</v>
      </c>
      <c r="B83" s="10" t="s">
        <v>609</v>
      </c>
      <c r="C83" s="25">
        <v>2631</v>
      </c>
      <c r="D83" s="25">
        <v>18878</v>
      </c>
      <c r="E83" s="25">
        <v>119450</v>
      </c>
      <c r="F83" s="25">
        <v>470257</v>
      </c>
      <c r="G83" s="25">
        <v>1131178</v>
      </c>
      <c r="H83" s="25">
        <v>2098235</v>
      </c>
      <c r="I83" s="25">
        <v>39</v>
      </c>
      <c r="J83" s="25">
        <v>2772</v>
      </c>
      <c r="K83" s="25">
        <v>100</v>
      </c>
      <c r="L83" s="27">
        <f t="shared" si="2"/>
        <v>797.50475104523</v>
      </c>
      <c r="M83" s="27">
        <f t="shared" si="3"/>
        <v>71.0769230769231</v>
      </c>
      <c r="N83" s="10">
        <v>480</v>
      </c>
      <c r="O83" s="10">
        <v>16</v>
      </c>
      <c r="P83" s="10">
        <v>1.75</v>
      </c>
      <c r="Q83" s="10">
        <v>100</v>
      </c>
      <c r="R83" s="10">
        <v>30</v>
      </c>
      <c r="S83" s="10">
        <v>30</v>
      </c>
      <c r="T83" s="10">
        <v>0</v>
      </c>
      <c r="U83" s="10">
        <v>65</v>
      </c>
      <c r="V83" s="10">
        <v>0</v>
      </c>
      <c r="W83" s="10">
        <v>0</v>
      </c>
      <c r="X83" s="10">
        <v>0</v>
      </c>
      <c r="Y83" s="10">
        <v>0</v>
      </c>
      <c r="Z83" s="10">
        <v>2</v>
      </c>
      <c r="AA83" s="10">
        <v>12</v>
      </c>
      <c r="AB83" s="10">
        <v>1</v>
      </c>
      <c r="AC83" s="10">
        <v>0</v>
      </c>
      <c r="AD83" s="10">
        <v>0.5</v>
      </c>
      <c r="AE83" s="10">
        <v>0</v>
      </c>
      <c r="AF83" s="10">
        <v>0</v>
      </c>
    </row>
    <row r="84" ht="16.5" spans="1:32">
      <c r="A84" s="4" t="s">
        <v>619</v>
      </c>
      <c r="B84" s="10" t="s">
        <v>609</v>
      </c>
      <c r="C84" s="25">
        <v>2354</v>
      </c>
      <c r="D84" s="25">
        <v>16890</v>
      </c>
      <c r="E84" s="25">
        <v>106876</v>
      </c>
      <c r="F84" s="25">
        <v>420756</v>
      </c>
      <c r="G84" s="25">
        <v>1012106</v>
      </c>
      <c r="H84" s="25">
        <v>1877368</v>
      </c>
      <c r="I84" s="25">
        <v>46</v>
      </c>
      <c r="J84" s="25">
        <v>3234</v>
      </c>
      <c r="K84" s="25">
        <v>100</v>
      </c>
      <c r="L84" s="27">
        <f t="shared" si="2"/>
        <v>797.522514868309</v>
      </c>
      <c r="M84" s="27">
        <f t="shared" si="3"/>
        <v>70.304347826087</v>
      </c>
      <c r="N84" s="10">
        <v>480</v>
      </c>
      <c r="O84" s="10">
        <v>11</v>
      </c>
      <c r="P84" s="10">
        <v>1.75</v>
      </c>
      <c r="Q84" s="10">
        <v>100</v>
      </c>
      <c r="R84" s="10">
        <v>30</v>
      </c>
      <c r="S84" s="10">
        <v>30</v>
      </c>
      <c r="T84" s="10">
        <v>0</v>
      </c>
      <c r="U84" s="10">
        <v>65</v>
      </c>
      <c r="V84" s="10">
        <v>0</v>
      </c>
      <c r="W84" s="10">
        <v>0</v>
      </c>
      <c r="X84" s="10">
        <v>0</v>
      </c>
      <c r="Y84" s="10">
        <v>0</v>
      </c>
      <c r="Z84" s="10">
        <v>2</v>
      </c>
      <c r="AA84" s="10">
        <v>12</v>
      </c>
      <c r="AB84" s="10">
        <v>1</v>
      </c>
      <c r="AC84" s="10">
        <v>0</v>
      </c>
      <c r="AD84" s="10">
        <v>0.5</v>
      </c>
      <c r="AE84" s="10">
        <v>0</v>
      </c>
      <c r="AF84" s="10">
        <v>0</v>
      </c>
    </row>
    <row r="85" ht="16.5" spans="1:32">
      <c r="A85" s="4" t="s">
        <v>621</v>
      </c>
      <c r="B85" s="10" t="s">
        <v>609</v>
      </c>
      <c r="C85" s="25">
        <v>2077</v>
      </c>
      <c r="D85" s="25">
        <v>14903</v>
      </c>
      <c r="E85" s="25">
        <v>94303</v>
      </c>
      <c r="F85" s="25">
        <v>371256</v>
      </c>
      <c r="G85" s="25">
        <v>893035</v>
      </c>
      <c r="H85" s="25">
        <v>1656501</v>
      </c>
      <c r="I85" s="25">
        <v>33</v>
      </c>
      <c r="J85" s="25">
        <v>2310</v>
      </c>
      <c r="K85" s="25">
        <v>100</v>
      </c>
      <c r="L85" s="27">
        <f t="shared" si="2"/>
        <v>797.545016851228</v>
      </c>
      <c r="M85" s="27">
        <f t="shared" si="3"/>
        <v>70</v>
      </c>
      <c r="N85" s="10">
        <v>200</v>
      </c>
      <c r="O85" s="10">
        <v>24</v>
      </c>
      <c r="P85" s="10">
        <v>1.75</v>
      </c>
      <c r="Q85" s="10">
        <v>100</v>
      </c>
      <c r="R85" s="10">
        <v>30</v>
      </c>
      <c r="S85" s="10">
        <v>30</v>
      </c>
      <c r="T85" s="10">
        <v>0</v>
      </c>
      <c r="U85" s="10">
        <v>65</v>
      </c>
      <c r="V85" s="10">
        <v>0</v>
      </c>
      <c r="W85" s="10">
        <v>0</v>
      </c>
      <c r="X85" s="10">
        <v>0</v>
      </c>
      <c r="Y85" s="10">
        <v>0</v>
      </c>
      <c r="Z85" s="10">
        <v>2</v>
      </c>
      <c r="AA85" s="10">
        <v>12</v>
      </c>
      <c r="AB85" s="10">
        <v>1</v>
      </c>
      <c r="AC85" s="10">
        <v>0</v>
      </c>
      <c r="AD85" s="10">
        <v>0.5</v>
      </c>
      <c r="AE85" s="10">
        <v>0</v>
      </c>
      <c r="AF85" s="10">
        <v>0</v>
      </c>
    </row>
    <row r="86" ht="16.5" spans="1:32">
      <c r="A86" s="4" t="s">
        <v>625</v>
      </c>
      <c r="B86" s="10" t="s">
        <v>609</v>
      </c>
      <c r="C86" s="25">
        <v>1385</v>
      </c>
      <c r="D86" s="25">
        <v>9936</v>
      </c>
      <c r="E86" s="25">
        <v>62869</v>
      </c>
      <c r="F86" s="25">
        <v>247504</v>
      </c>
      <c r="G86" s="25">
        <v>595357</v>
      </c>
      <c r="H86" s="25">
        <v>1104334</v>
      </c>
      <c r="I86" s="25">
        <v>66</v>
      </c>
      <c r="J86" s="25">
        <v>4620</v>
      </c>
      <c r="K86" s="25">
        <v>100</v>
      </c>
      <c r="L86" s="27">
        <f t="shared" si="2"/>
        <v>797.353068592058</v>
      </c>
      <c r="M86" s="27">
        <f t="shared" si="3"/>
        <v>70</v>
      </c>
      <c r="N86" s="10">
        <v>280</v>
      </c>
      <c r="O86" s="10">
        <v>11</v>
      </c>
      <c r="P86" s="10">
        <v>1.75</v>
      </c>
      <c r="Q86" s="10">
        <v>100</v>
      </c>
      <c r="R86" s="10">
        <v>30</v>
      </c>
      <c r="S86" s="10">
        <v>30</v>
      </c>
      <c r="T86" s="10">
        <v>0</v>
      </c>
      <c r="U86" s="10">
        <v>65</v>
      </c>
      <c r="V86" s="10">
        <v>0</v>
      </c>
      <c r="W86" s="10">
        <v>0</v>
      </c>
      <c r="X86" s="10">
        <v>0</v>
      </c>
      <c r="Y86" s="10">
        <v>0</v>
      </c>
      <c r="Z86" s="10">
        <v>2</v>
      </c>
      <c r="AA86" s="10">
        <v>12</v>
      </c>
      <c r="AB86" s="10">
        <v>1</v>
      </c>
      <c r="AC86" s="10">
        <v>0</v>
      </c>
      <c r="AD86" s="10">
        <v>0.5</v>
      </c>
      <c r="AE86" s="10">
        <v>0</v>
      </c>
      <c r="AF86" s="10">
        <v>0</v>
      </c>
    </row>
    <row r="87" ht="16.5" spans="1:32">
      <c r="A87" s="4" t="s">
        <v>629</v>
      </c>
      <c r="B87" s="10" t="s">
        <v>609</v>
      </c>
      <c r="C87" s="25">
        <v>886</v>
      </c>
      <c r="D87" s="25">
        <v>6359</v>
      </c>
      <c r="E87" s="25">
        <v>40236</v>
      </c>
      <c r="F87" s="25">
        <v>158402</v>
      </c>
      <c r="G87" s="25">
        <v>381028</v>
      </c>
      <c r="H87" s="25">
        <v>706774</v>
      </c>
      <c r="I87" s="25">
        <v>33</v>
      </c>
      <c r="J87" s="25">
        <v>2310</v>
      </c>
      <c r="K87" s="25">
        <v>100</v>
      </c>
      <c r="L87" s="27">
        <f t="shared" si="2"/>
        <v>797.713318284424</v>
      </c>
      <c r="M87" s="27">
        <f t="shared" si="3"/>
        <v>70</v>
      </c>
      <c r="N87" s="10">
        <v>280</v>
      </c>
      <c r="O87" s="10">
        <v>20</v>
      </c>
      <c r="P87" s="10">
        <v>1.75</v>
      </c>
      <c r="Q87" s="10">
        <v>100</v>
      </c>
      <c r="R87" s="10">
        <v>30</v>
      </c>
      <c r="S87" s="10">
        <v>30</v>
      </c>
      <c r="T87" s="10">
        <v>0</v>
      </c>
      <c r="U87" s="10">
        <v>65</v>
      </c>
      <c r="V87" s="10">
        <v>0</v>
      </c>
      <c r="W87" s="10">
        <v>0</v>
      </c>
      <c r="X87" s="10">
        <v>0</v>
      </c>
      <c r="Y87" s="10">
        <v>0</v>
      </c>
      <c r="Z87" s="10">
        <v>2</v>
      </c>
      <c r="AA87" s="10">
        <v>12</v>
      </c>
      <c r="AB87" s="10">
        <v>1</v>
      </c>
      <c r="AC87" s="10">
        <v>0</v>
      </c>
      <c r="AD87" s="10">
        <v>0.5</v>
      </c>
      <c r="AE87" s="10">
        <v>0</v>
      </c>
      <c r="AF87" s="10">
        <v>0</v>
      </c>
    </row>
    <row r="88" ht="16.5" spans="1:32">
      <c r="A88" s="4" t="s">
        <v>630</v>
      </c>
      <c r="B88" s="10" t="s">
        <v>609</v>
      </c>
      <c r="C88" s="25">
        <v>235</v>
      </c>
      <c r="D88" s="25">
        <v>1689</v>
      </c>
      <c r="E88" s="25">
        <v>10688</v>
      </c>
      <c r="F88" s="25">
        <v>42076</v>
      </c>
      <c r="G88" s="25">
        <v>101211</v>
      </c>
      <c r="H88" s="25">
        <v>187737</v>
      </c>
      <c r="I88" s="25">
        <v>59</v>
      </c>
      <c r="J88" s="25">
        <v>4158</v>
      </c>
      <c r="K88" s="25">
        <v>100</v>
      </c>
      <c r="L88" s="27">
        <f t="shared" si="2"/>
        <v>798.88085106383</v>
      </c>
      <c r="M88" s="27">
        <f t="shared" si="3"/>
        <v>70.4745762711864</v>
      </c>
      <c r="N88" s="10">
        <v>0</v>
      </c>
      <c r="O88" s="10">
        <v>6</v>
      </c>
      <c r="P88" s="10">
        <v>1.25</v>
      </c>
      <c r="Q88" s="10">
        <v>100</v>
      </c>
      <c r="R88" s="10">
        <v>30</v>
      </c>
      <c r="S88" s="10">
        <v>30</v>
      </c>
      <c r="T88" s="10">
        <v>0</v>
      </c>
      <c r="U88" s="10">
        <v>65</v>
      </c>
      <c r="V88" s="10">
        <v>0</v>
      </c>
      <c r="W88" s="10">
        <v>0</v>
      </c>
      <c r="X88" s="10">
        <v>0</v>
      </c>
      <c r="Y88" s="10">
        <v>0</v>
      </c>
      <c r="Z88" s="10">
        <v>2</v>
      </c>
      <c r="AA88" s="10">
        <v>12</v>
      </c>
      <c r="AB88" s="10">
        <v>1</v>
      </c>
      <c r="AC88" s="10">
        <v>0</v>
      </c>
      <c r="AD88" s="10">
        <v>0.5</v>
      </c>
      <c r="AE88" s="10">
        <v>0</v>
      </c>
      <c r="AF88" s="10">
        <v>0</v>
      </c>
    </row>
  </sheetData>
  <autoFilter xmlns:etc="http://www.wps.cn/officeDocument/2017/etCustomData" ref="A2:AG88" etc:filterBottomFollowUsedRange="0">
    <extLst/>
  </autoFilter>
  <mergeCells count="1">
    <mergeCell ref="A1:AF1"/>
  </mergeCells>
  <conditionalFormatting sqref="AG3:AG88">
    <cfRule type="cellIs" dxfId="0" priority="1" operator="equal">
      <formula>"实测"</formula>
    </cfRule>
    <cfRule type="cellIs" dxfId="1" priority="2" operator="equal">
      <formula>"待补录"</formula>
    </cfRule>
    <cfRule type="cellIs" dxfId="2" priority="3" operator="equal">
      <formula>"存疑"</formula>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9"/>
  <sheetViews>
    <sheetView workbookViewId="0">
      <pane ySplit="2" topLeftCell="A3" activePane="bottomLeft" state="frozen"/>
      <selection/>
      <selection pane="bottomLeft" activeCell="I9" sqref="I9"/>
    </sheetView>
  </sheetViews>
  <sheetFormatPr defaultColWidth="9" defaultRowHeight="13.5" outlineLevelCol="5"/>
  <cols>
    <col min="1" max="1" width="8" customWidth="1"/>
    <col min="2" max="2" width="18" customWidth="1"/>
    <col min="3" max="3" width="19" customWidth="1"/>
    <col min="4" max="4" width="15" customWidth="1"/>
    <col min="5" max="5" width="16" customWidth="1"/>
    <col min="6" max="6" width="8" customWidth="1"/>
  </cols>
  <sheetData>
    <row r="1" ht="26" customHeight="1" spans="1:6">
      <c r="A1" s="1" t="s">
        <v>663</v>
      </c>
    </row>
    <row r="2" ht="30" customHeight="1" spans="1:6">
      <c r="A2" s="3" t="s">
        <v>664</v>
      </c>
      <c r="B2" s="3" t="s">
        <v>665</v>
      </c>
      <c r="C2" s="3" t="s">
        <v>666</v>
      </c>
      <c r="D2" s="3" t="s">
        <v>667</v>
      </c>
      <c r="E2" s="3" t="s">
        <v>668</v>
      </c>
      <c r="F2" s="3" t="s">
        <v>95</v>
      </c>
    </row>
    <row r="3" ht="16.5" spans="1:6">
      <c r="A3" s="10">
        <v>1</v>
      </c>
      <c r="B3" s="25">
        <v>0.00125374</v>
      </c>
      <c r="C3" s="25">
        <v>0.01426025</v>
      </c>
      <c r="D3" s="10" t="s">
        <v>3</v>
      </c>
      <c r="E3" s="10" t="s">
        <v>3</v>
      </c>
      <c r="F3" s="10">
        <v>100</v>
      </c>
    </row>
    <row r="4" ht="16.5" spans="1:6">
      <c r="A4" s="10">
        <v>2</v>
      </c>
      <c r="B4" s="25">
        <v>0.00143073</v>
      </c>
      <c r="C4" s="25">
        <v>0.01630158</v>
      </c>
      <c r="D4" s="26">
        <v>0.141169232999457</v>
      </c>
      <c r="E4" s="26">
        <v>0.143148242485991</v>
      </c>
      <c r="F4" s="10">
        <v>100</v>
      </c>
    </row>
    <row r="5" ht="16.5" spans="1:6">
      <c r="A5" s="10">
        <v>3</v>
      </c>
      <c r="B5" s="25">
        <v>0.00161817</v>
      </c>
      <c r="C5" s="25">
        <v>0.01839827</v>
      </c>
      <c r="D5" s="26">
        <v>0.131012734091414</v>
      </c>
      <c r="E5" s="26">
        <v>0.128618777056277</v>
      </c>
      <c r="F5" s="10">
        <v>100</v>
      </c>
    </row>
    <row r="6" ht="16.5" spans="1:6">
      <c r="A6" s="10">
        <v>4</v>
      </c>
      <c r="B6" s="25">
        <v>0.00181648</v>
      </c>
      <c r="C6" s="25">
        <v>0.02077922</v>
      </c>
      <c r="D6" s="26">
        <v>0.122551762730834</v>
      </c>
      <c r="E6" s="26">
        <v>0.129411764705882</v>
      </c>
      <c r="F6" s="10">
        <v>100</v>
      </c>
    </row>
    <row r="7" ht="16.5" spans="1:6">
      <c r="A7" s="10">
        <v>5</v>
      </c>
      <c r="B7" s="25">
        <v>0.00202547</v>
      </c>
      <c r="C7" s="25">
        <v>0.02308802</v>
      </c>
      <c r="D7" s="26">
        <v>0.11505483549352</v>
      </c>
      <c r="E7" s="26">
        <v>0.111111111111111</v>
      </c>
      <c r="F7" s="10">
        <v>100</v>
      </c>
    </row>
    <row r="8" ht="16.5" spans="1:6">
      <c r="A8" s="10">
        <v>6</v>
      </c>
      <c r="B8" s="25">
        <v>0.00237754</v>
      </c>
      <c r="C8" s="25">
        <v>0.02549303</v>
      </c>
      <c r="D8" s="26">
        <v>0.17381974248927</v>
      </c>
      <c r="E8" s="26">
        <v>0.104166666666667</v>
      </c>
      <c r="F8" s="10">
        <v>100</v>
      </c>
    </row>
    <row r="9" ht="16.5" spans="1:6">
      <c r="A9" s="10">
        <v>7</v>
      </c>
      <c r="B9" s="25">
        <v>0.00276843</v>
      </c>
      <c r="C9" s="25">
        <v>0.02794725</v>
      </c>
      <c r="D9" s="26">
        <v>0.164408598880286</v>
      </c>
      <c r="E9" s="26">
        <v>0.0962706048801862</v>
      </c>
      <c r="F9" s="10">
        <v>100</v>
      </c>
    </row>
    <row r="10" ht="16.5" spans="1:6">
      <c r="A10" s="10">
        <v>8</v>
      </c>
      <c r="B10" s="25">
        <v>0.00320012</v>
      </c>
      <c r="C10" s="25">
        <v>0.03051948</v>
      </c>
      <c r="D10" s="26">
        <v>0.155932774329849</v>
      </c>
      <c r="E10" s="26">
        <v>0.0920385952076093</v>
      </c>
      <c r="F10" s="10">
        <v>100</v>
      </c>
    </row>
    <row r="11" ht="16.5" spans="1:6">
      <c r="A11" s="10">
        <v>9</v>
      </c>
      <c r="B11" s="25">
        <v>0.00367542</v>
      </c>
      <c r="C11" s="25">
        <v>0.03311688</v>
      </c>
      <c r="D11" s="26">
        <v>0.148524973223119</v>
      </c>
      <c r="E11" s="26">
        <v>0.0851063829787233</v>
      </c>
      <c r="F11" s="10">
        <v>100</v>
      </c>
    </row>
    <row r="12" ht="16.5" spans="1:6">
      <c r="A12" s="10">
        <v>10</v>
      </c>
      <c r="B12" s="25">
        <v>0.00419675</v>
      </c>
      <c r="C12" s="25">
        <v>0.03586889</v>
      </c>
      <c r="D12" s="26">
        <v>0.141843992867078</v>
      </c>
      <c r="E12" s="26">
        <v>0.0830999066293185</v>
      </c>
      <c r="F12" s="10">
        <v>100</v>
      </c>
    </row>
    <row r="13" ht="16.5" spans="1:6">
      <c r="A13" s="10">
        <v>11</v>
      </c>
      <c r="B13" s="25">
        <v>0.00449139</v>
      </c>
      <c r="C13" s="25">
        <v>0.03862804</v>
      </c>
      <c r="D13" s="26">
        <v>0.0702073197877242</v>
      </c>
      <c r="E13" s="26">
        <v>0.0769230769230771</v>
      </c>
      <c r="F13" s="10">
        <v>100</v>
      </c>
    </row>
    <row r="14" ht="16.5" spans="1:6">
      <c r="A14" s="10">
        <v>12</v>
      </c>
      <c r="B14" s="25">
        <v>0.00479122</v>
      </c>
      <c r="C14" s="25">
        <v>0.04155844</v>
      </c>
      <c r="D14" s="26">
        <v>0.0667558430804962</v>
      </c>
      <c r="E14" s="26">
        <v>0.0758620689655172</v>
      </c>
      <c r="F14" s="10">
        <v>100</v>
      </c>
    </row>
    <row r="15" ht="16.5" spans="1:6">
      <c r="A15" s="10">
        <v>13</v>
      </c>
      <c r="B15" s="25">
        <v>0.00532749</v>
      </c>
      <c r="C15" s="25">
        <v>0.04437229</v>
      </c>
      <c r="D15" s="26">
        <v>0.111928041132597</v>
      </c>
      <c r="E15" s="26">
        <v>0.0677083333333335</v>
      </c>
      <c r="F15" s="10">
        <v>100</v>
      </c>
    </row>
    <row r="16" ht="16.5" spans="1:6">
      <c r="A16" s="10">
        <v>14</v>
      </c>
      <c r="B16" s="25">
        <v>0.00589596</v>
      </c>
      <c r="C16" s="25">
        <v>0.04743161</v>
      </c>
      <c r="D16" s="26">
        <v>0.106704159775285</v>
      </c>
      <c r="E16" s="26">
        <v>0.0689464816317125</v>
      </c>
      <c r="F16" s="10">
        <v>100</v>
      </c>
    </row>
    <row r="17" ht="16.5" spans="1:6">
      <c r="A17" s="10">
        <v>15</v>
      </c>
      <c r="B17" s="25">
        <v>0.00649763</v>
      </c>
      <c r="C17" s="25">
        <v>0.05050505</v>
      </c>
      <c r="D17" s="26">
        <v>0.102047781569966</v>
      </c>
      <c r="E17" s="26">
        <v>0.0647973511044051</v>
      </c>
      <c r="F17" s="10">
        <v>100</v>
      </c>
    </row>
    <row r="18" ht="16.5" spans="1:6">
      <c r="A18" s="10">
        <v>16</v>
      </c>
      <c r="B18" s="25">
        <v>0.0071319</v>
      </c>
      <c r="C18" s="25">
        <v>0.05367965</v>
      </c>
      <c r="D18" s="26">
        <v>0.0976158025333114</v>
      </c>
      <c r="E18" s="26">
        <v>0.0628571428571429</v>
      </c>
      <c r="F18" s="10">
        <v>100</v>
      </c>
    </row>
    <row r="19" ht="16.5" spans="1:6">
      <c r="A19" s="10">
        <v>17</v>
      </c>
      <c r="B19" s="25">
        <v>0.00779922</v>
      </c>
      <c r="C19" s="25">
        <v>0.05692641</v>
      </c>
      <c r="D19" s="26">
        <v>0.093567833788176</v>
      </c>
      <c r="E19" s="26">
        <v>0.060483870967742</v>
      </c>
      <c r="F19" s="10">
        <v>100</v>
      </c>
    </row>
    <row r="20" ht="16.5" spans="1:6">
      <c r="A20" s="10">
        <v>18</v>
      </c>
      <c r="B20" s="25">
        <v>0.00819589</v>
      </c>
      <c r="C20" s="25">
        <v>0.06017316</v>
      </c>
      <c r="D20" s="26">
        <v>0.0508606501282614</v>
      </c>
      <c r="E20" s="26">
        <v>0.0570342205323193</v>
      </c>
      <c r="F20" s="10">
        <v>100</v>
      </c>
    </row>
    <row r="21" ht="16.5" spans="1:6">
      <c r="A21" s="10">
        <v>19</v>
      </c>
      <c r="B21" s="25">
        <v>0.00859523</v>
      </c>
      <c r="C21" s="25">
        <v>0.06363636</v>
      </c>
      <c r="D21" s="26">
        <v>0.048723897911833</v>
      </c>
      <c r="E21" s="26">
        <v>0.0575539568345322</v>
      </c>
      <c r="F21" s="10">
        <v>100</v>
      </c>
    </row>
    <row r="22" ht="16.5" spans="1:6">
      <c r="A22" s="10">
        <v>20</v>
      </c>
      <c r="B22" s="25">
        <v>0.00899687</v>
      </c>
      <c r="C22" s="25">
        <v>0.06709957</v>
      </c>
      <c r="D22" s="26">
        <v>0.0467289883002331</v>
      </c>
      <c r="E22" s="26">
        <v>0.054421768707483</v>
      </c>
      <c r="F22" s="10">
        <v>100</v>
      </c>
    </row>
    <row r="23" ht="16.5" spans="1:6">
      <c r="A23" s="10">
        <v>21</v>
      </c>
      <c r="B23" s="25">
        <v>0.00989569</v>
      </c>
      <c r="C23" s="25">
        <v>0.07094757</v>
      </c>
      <c r="D23" s="26">
        <v>0.0999034479866714</v>
      </c>
      <c r="E23" s="26">
        <v>0.0573476702508961</v>
      </c>
      <c r="F23" s="10">
        <v>100</v>
      </c>
    </row>
    <row r="24" ht="16.5" spans="1:6">
      <c r="A24" s="10">
        <v>22</v>
      </c>
      <c r="B24" s="25">
        <v>0.01086478</v>
      </c>
      <c r="C24" s="25">
        <v>0.07467532</v>
      </c>
      <c r="D24" s="26">
        <v>0.0979299711770576</v>
      </c>
      <c r="E24" s="26">
        <v>0.0525423728813559</v>
      </c>
      <c r="F24" s="10">
        <v>100</v>
      </c>
    </row>
    <row r="25" ht="16.5" spans="1:6">
      <c r="A25" s="10">
        <v>23</v>
      </c>
      <c r="B25" s="25">
        <v>0.01190764</v>
      </c>
      <c r="C25" s="25">
        <v>0.07878788</v>
      </c>
      <c r="D25" s="26">
        <v>0.0959855535491041</v>
      </c>
      <c r="E25" s="26">
        <v>0.0550724637681159</v>
      </c>
      <c r="F25" s="10">
        <v>100</v>
      </c>
    </row>
    <row r="26" ht="16.5" spans="1:6">
      <c r="A26" s="10">
        <v>24</v>
      </c>
      <c r="B26" s="25">
        <v>0.01302948</v>
      </c>
      <c r="C26" s="25">
        <v>0.08273208</v>
      </c>
      <c r="D26" s="26">
        <v>0.0942120828052386</v>
      </c>
      <c r="E26" s="26">
        <v>0.0500610500610501</v>
      </c>
      <c r="F26" s="10">
        <v>100</v>
      </c>
    </row>
    <row r="27" ht="16.5" spans="1:6">
      <c r="A27" s="10">
        <v>25</v>
      </c>
      <c r="B27" s="25">
        <v>0.01423482</v>
      </c>
      <c r="C27" s="25">
        <v>0.08694084</v>
      </c>
      <c r="D27" s="26">
        <v>0.0925089929811329</v>
      </c>
      <c r="E27" s="26">
        <v>0.050872093023256</v>
      </c>
      <c r="F27" s="10">
        <v>100</v>
      </c>
    </row>
    <row r="28" ht="16.5" spans="1:6">
      <c r="A28" s="10">
        <v>26</v>
      </c>
      <c r="B28" s="25">
        <v>0.01552941</v>
      </c>
      <c r="C28" s="25">
        <v>0.09112379</v>
      </c>
      <c r="D28" s="26">
        <v>0.0909451899106692</v>
      </c>
      <c r="E28" s="26">
        <v>0.0481126905949347</v>
      </c>
      <c r="F28" s="10">
        <v>100</v>
      </c>
    </row>
    <row r="29" ht="16.5" spans="1:6">
      <c r="A29" s="10">
        <v>27</v>
      </c>
      <c r="B29" s="25">
        <v>0.01691723</v>
      </c>
      <c r="C29" s="25">
        <v>0.09525602</v>
      </c>
      <c r="D29" s="26">
        <v>0.0893672085580106</v>
      </c>
      <c r="E29" s="26">
        <v>0.0453474264227536</v>
      </c>
      <c r="F29" s="10">
        <v>100</v>
      </c>
    </row>
    <row r="30" ht="16.5" spans="1:6">
      <c r="A30" s="10">
        <v>28</v>
      </c>
      <c r="B30" s="25">
        <v>0.01853305</v>
      </c>
      <c r="C30" s="25">
        <v>0.09978355</v>
      </c>
      <c r="D30" s="26">
        <v>0.0955131798925679</v>
      </c>
      <c r="E30" s="26">
        <v>0.0475300720360008</v>
      </c>
      <c r="F30" s="10">
        <v>100</v>
      </c>
    </row>
    <row r="31" ht="16.5" spans="1:6">
      <c r="A31" s="10">
        <v>29</v>
      </c>
      <c r="B31" s="25">
        <v>0.02027365</v>
      </c>
      <c r="C31" s="25">
        <v>0.104329</v>
      </c>
      <c r="D31" s="26">
        <v>0.0939185519191648</v>
      </c>
      <c r="E31" s="26">
        <v>0.0455531453362257</v>
      </c>
      <c r="F31" s="10">
        <v>100</v>
      </c>
    </row>
    <row r="32" ht="16.5" spans="1:6">
      <c r="A32" s="10">
        <v>30</v>
      </c>
      <c r="B32" s="25">
        <v>0.02214608</v>
      </c>
      <c r="C32" s="25">
        <v>0.10880231</v>
      </c>
      <c r="D32" s="26">
        <v>0.0923577597236285</v>
      </c>
      <c r="E32" s="26">
        <v>0.0428769017980637</v>
      </c>
      <c r="F32" s="10">
        <v>100</v>
      </c>
    </row>
    <row r="33" ht="16.5" spans="1:6">
      <c r="A33" s="10">
        <v>31</v>
      </c>
      <c r="B33" s="25">
        <v>0.02498337</v>
      </c>
      <c r="C33" s="25">
        <v>0.11815635</v>
      </c>
      <c r="D33" s="26">
        <v>0.128117305286019</v>
      </c>
      <c r="E33" s="26">
        <v>0.0859728506787329</v>
      </c>
      <c r="F33" s="10">
        <v>100</v>
      </c>
    </row>
    <row r="34" ht="16.5" spans="1:6">
      <c r="A34" s="10">
        <v>32</v>
      </c>
      <c r="B34" s="25">
        <v>0.02749178</v>
      </c>
      <c r="C34" s="25">
        <v>0.12646877</v>
      </c>
      <c r="D34" s="26">
        <v>0.100403123802078</v>
      </c>
      <c r="E34" s="26">
        <v>0.070350985221675</v>
      </c>
      <c r="F34" s="10">
        <v>100</v>
      </c>
    </row>
    <row r="35" ht="16.5" spans="1:6">
      <c r="A35" s="10">
        <v>33</v>
      </c>
      <c r="B35" s="25">
        <v>0.03021855</v>
      </c>
      <c r="C35" s="25">
        <v>0.13528139</v>
      </c>
      <c r="D35" s="26">
        <v>0.0991849767449386</v>
      </c>
      <c r="E35" s="26">
        <v>0.0696821515892418</v>
      </c>
      <c r="F35" s="10">
        <v>100</v>
      </c>
    </row>
    <row r="36" ht="16.5" spans="1:6">
      <c r="A36" s="10">
        <v>34</v>
      </c>
      <c r="B36" s="25">
        <v>0.03317839</v>
      </c>
      <c r="C36" s="25">
        <v>0.14457831</v>
      </c>
      <c r="D36" s="26">
        <v>0.0979475726589731</v>
      </c>
      <c r="E36" s="26">
        <v>0.068722891566265</v>
      </c>
      <c r="F36" s="10">
        <v>100</v>
      </c>
    </row>
    <row r="37" ht="16.5" spans="1:6">
      <c r="A37" s="10">
        <v>35</v>
      </c>
      <c r="B37" s="25">
        <v>0.03639031</v>
      </c>
      <c r="C37" s="25">
        <v>0.15411255</v>
      </c>
      <c r="D37" s="26">
        <v>0.0968075950357878</v>
      </c>
      <c r="E37" s="26">
        <v>0.065945165945166</v>
      </c>
      <c r="F37" s="10">
        <v>100</v>
      </c>
    </row>
    <row r="38" ht="16.5" spans="1:6">
      <c r="A38" s="10">
        <v>36</v>
      </c>
      <c r="B38" s="25">
        <v>0.03987246</v>
      </c>
      <c r="C38" s="25">
        <v>0.16406926</v>
      </c>
      <c r="D38" s="26">
        <v>0.095688909515584</v>
      </c>
      <c r="E38" s="26">
        <v>0.0646067415730336</v>
      </c>
      <c r="F38" s="10">
        <v>100</v>
      </c>
    </row>
    <row r="39" ht="16.5" spans="1:6">
      <c r="A39" s="10">
        <v>37</v>
      </c>
      <c r="B39" s="25">
        <v>0.04364531</v>
      </c>
      <c r="C39" s="25">
        <v>0.17467532</v>
      </c>
      <c r="D39" s="26">
        <v>0.0946230418139429</v>
      </c>
      <c r="E39" s="26">
        <v>0.0646437994722957</v>
      </c>
      <c r="F39" s="10">
        <v>100</v>
      </c>
    </row>
    <row r="40" ht="16.5" spans="1:6">
      <c r="A40" s="10">
        <v>38</v>
      </c>
      <c r="B40" s="25">
        <v>0.04772936</v>
      </c>
      <c r="C40" s="25">
        <v>0.18560606</v>
      </c>
      <c r="D40" s="26">
        <v>0.0935736988687064</v>
      </c>
      <c r="E40" s="26">
        <v>0.0625774473358116</v>
      </c>
      <c r="F40" s="10">
        <v>100</v>
      </c>
    </row>
    <row r="41" ht="16.5" spans="1:6">
      <c r="A41" s="10">
        <v>39</v>
      </c>
      <c r="B41" s="25">
        <v>0.05214911</v>
      </c>
      <c r="C41" s="25">
        <v>0.1969697</v>
      </c>
      <c r="D41" s="26">
        <v>0.0926001509716774</v>
      </c>
      <c r="E41" s="26">
        <v>0.0612244897959182</v>
      </c>
      <c r="F41" s="10">
        <v>100</v>
      </c>
    </row>
    <row r="42" ht="16.5" spans="1:6">
      <c r="A42" s="10">
        <v>40</v>
      </c>
      <c r="B42" s="25">
        <v>0.05692893</v>
      </c>
      <c r="C42" s="25">
        <v>0.20881716</v>
      </c>
      <c r="D42" s="26">
        <v>0.0916568364393293</v>
      </c>
      <c r="E42" s="26">
        <v>0.0601486684934827</v>
      </c>
      <c r="F42" s="10">
        <v>100</v>
      </c>
    </row>
    <row r="43" ht="16.5" spans="1:6">
      <c r="A43" s="10">
        <v>41</v>
      </c>
      <c r="B43" s="25">
        <v>0.06161278</v>
      </c>
      <c r="C43" s="25">
        <v>0.22121212</v>
      </c>
      <c r="D43" s="26">
        <v>0.0822752893090744</v>
      </c>
      <c r="E43" s="26">
        <v>0.0593579527604033</v>
      </c>
      <c r="F43" s="10">
        <v>100</v>
      </c>
    </row>
    <row r="44" ht="16.5" spans="1:6">
      <c r="A44" s="10">
        <v>42</v>
      </c>
      <c r="B44" s="25">
        <v>0.06659894</v>
      </c>
      <c r="C44" s="25">
        <v>0.2340368</v>
      </c>
      <c r="D44" s="26">
        <v>0.0809274484777802</v>
      </c>
      <c r="E44" s="26">
        <v>0.0579745596868884</v>
      </c>
      <c r="F44" s="10">
        <v>100</v>
      </c>
    </row>
    <row r="45" ht="16.5" spans="1:6">
      <c r="A45" s="10">
        <v>43</v>
      </c>
      <c r="B45" s="25">
        <v>0.07190155</v>
      </c>
      <c r="C45" s="25">
        <v>0.24739225</v>
      </c>
      <c r="D45" s="26">
        <v>0.0796199505465445</v>
      </c>
      <c r="E45" s="26">
        <v>0.0570655951618462</v>
      </c>
      <c r="F45" s="10">
        <v>100</v>
      </c>
    </row>
    <row r="46" ht="16.5" spans="1:6">
      <c r="A46" s="10">
        <v>44</v>
      </c>
      <c r="B46" s="25">
        <v>0.07753625</v>
      </c>
      <c r="C46" s="25">
        <v>0.26125541</v>
      </c>
      <c r="D46" s="26">
        <v>0.0783669842392249</v>
      </c>
      <c r="E46" s="26">
        <v>0.0560371874214356</v>
      </c>
      <c r="F46" s="10">
        <v>100</v>
      </c>
    </row>
    <row r="47" ht="16.5" spans="1:6">
      <c r="A47" s="10">
        <v>45</v>
      </c>
      <c r="B47" s="25">
        <v>0.08351828</v>
      </c>
      <c r="C47" s="25">
        <v>0.27572428</v>
      </c>
      <c r="D47" s="26">
        <v>0.0771513862478967</v>
      </c>
      <c r="E47" s="26">
        <v>0.0553820661525715</v>
      </c>
      <c r="F47" s="10">
        <v>100</v>
      </c>
    </row>
    <row r="48" ht="16.5" spans="1:6">
      <c r="A48" s="10">
        <v>46</v>
      </c>
      <c r="B48" s="25">
        <v>0.08986304</v>
      </c>
      <c r="C48" s="25">
        <v>0.29062049</v>
      </c>
      <c r="D48" s="26">
        <v>0.0759685180963197</v>
      </c>
      <c r="E48" s="26">
        <v>0.0540257648953302</v>
      </c>
      <c r="F48" s="10">
        <v>100</v>
      </c>
    </row>
    <row r="49" ht="16.5" spans="1:6">
      <c r="A49" s="10">
        <v>47</v>
      </c>
      <c r="B49" s="25">
        <v>0.09658708</v>
      </c>
      <c r="C49" s="25">
        <v>0.30615681</v>
      </c>
      <c r="D49" s="26">
        <v>0.0748254472043917</v>
      </c>
      <c r="E49" s="26">
        <v>0.0534591194968555</v>
      </c>
      <c r="F49" s="10">
        <v>100</v>
      </c>
    </row>
    <row r="50" ht="16.5" spans="1:6">
      <c r="A50" s="10">
        <v>48</v>
      </c>
      <c r="B50" s="25">
        <v>0.10370751</v>
      </c>
      <c r="C50" s="25">
        <v>0.32227032</v>
      </c>
      <c r="D50" s="26">
        <v>0.0737202858392882</v>
      </c>
      <c r="E50" s="26">
        <v>0.0526315789473684</v>
      </c>
      <c r="F50" s="10">
        <v>100</v>
      </c>
    </row>
    <row r="51" ht="16.5" spans="1:6">
      <c r="A51" s="10">
        <v>49</v>
      </c>
      <c r="B51" s="25">
        <v>0.11124143</v>
      </c>
      <c r="C51" s="25">
        <v>0.33874459</v>
      </c>
      <c r="D51" s="26">
        <v>0.0726458247323505</v>
      </c>
      <c r="E51" s="26">
        <v>0.0511194029850746</v>
      </c>
      <c r="F51" s="10">
        <v>100</v>
      </c>
    </row>
    <row r="52" ht="16.5" spans="1:6">
      <c r="A52" s="10">
        <v>50</v>
      </c>
      <c r="B52" s="25">
        <v>0.11920638</v>
      </c>
      <c r="C52" s="25">
        <v>0.35606061</v>
      </c>
      <c r="D52" s="26">
        <v>0.0716005785386624</v>
      </c>
      <c r="E52" s="26">
        <v>0.0511182108626198</v>
      </c>
      <c r="F52" s="10">
        <v>100</v>
      </c>
    </row>
    <row r="53" ht="16.5" spans="1:6">
      <c r="A53" s="10">
        <v>51</v>
      </c>
      <c r="B53" s="25">
        <v>0.12981356</v>
      </c>
      <c r="C53" s="25">
        <v>0.37554113</v>
      </c>
      <c r="D53" s="26">
        <v>0.0889816753631956</v>
      </c>
      <c r="E53" s="26">
        <v>0.0547112462006078</v>
      </c>
      <c r="F53" s="10">
        <v>100</v>
      </c>
    </row>
    <row r="54" ht="16.5" spans="1:6">
      <c r="A54" s="10">
        <v>52</v>
      </c>
      <c r="B54" s="25">
        <v>0.13815964</v>
      </c>
      <c r="C54" s="25">
        <v>0.39393939</v>
      </c>
      <c r="D54" s="26">
        <v>0.0642927541304297</v>
      </c>
      <c r="E54" s="26">
        <v>0.0489913544668588</v>
      </c>
      <c r="F54" s="10">
        <v>100</v>
      </c>
    </row>
    <row r="55" ht="16.5" spans="1:6">
      <c r="A55" s="10">
        <v>53</v>
      </c>
      <c r="B55" s="25">
        <v>0.14697641</v>
      </c>
      <c r="C55" s="25">
        <v>0.41298701</v>
      </c>
      <c r="D55" s="26">
        <v>0.0638158421754043</v>
      </c>
      <c r="E55" s="26">
        <v>0.0483516483516484</v>
      </c>
      <c r="F55" s="10">
        <v>100</v>
      </c>
    </row>
    <row r="56" ht="16.5" spans="1:6">
      <c r="A56" s="10">
        <v>54</v>
      </c>
      <c r="B56" s="25">
        <v>0.1562888</v>
      </c>
      <c r="C56" s="25">
        <v>0.43290043</v>
      </c>
      <c r="D56" s="26">
        <v>0.063359786969482</v>
      </c>
      <c r="E56" s="26">
        <v>0.0482180293501047</v>
      </c>
      <c r="F56" s="10">
        <v>100</v>
      </c>
    </row>
    <row r="57" ht="16.5" spans="1:6">
      <c r="A57" s="10">
        <v>55</v>
      </c>
      <c r="B57" s="25">
        <v>0.16612244</v>
      </c>
      <c r="C57" s="25">
        <v>0.45319264</v>
      </c>
      <c r="D57" s="26">
        <v>0.0629196365608959</v>
      </c>
      <c r="E57" s="26">
        <v>0.046875</v>
      </c>
      <c r="F57" s="10">
        <v>100</v>
      </c>
    </row>
    <row r="58" ht="16.5" spans="1:6">
      <c r="A58" s="10">
        <v>56</v>
      </c>
      <c r="B58" s="25">
        <v>0.17650477</v>
      </c>
      <c r="C58" s="25">
        <v>0.46580087</v>
      </c>
      <c r="D58" s="26">
        <v>0.0624980903712571</v>
      </c>
      <c r="E58" s="26">
        <v>0.0278208955223882</v>
      </c>
      <c r="F58" s="10">
        <v>100</v>
      </c>
    </row>
    <row r="59" ht="16.5" spans="1:6">
      <c r="A59" s="10">
        <v>57</v>
      </c>
      <c r="B59" s="25">
        <v>0.18746502</v>
      </c>
      <c r="C59" s="25">
        <v>0.47878788</v>
      </c>
      <c r="D59" s="26">
        <v>0.0620960616487325</v>
      </c>
      <c r="E59" s="26">
        <v>0.0278810408921932</v>
      </c>
      <c r="F59" s="10">
        <v>100</v>
      </c>
    </row>
    <row r="60" ht="16.5" spans="1:6">
      <c r="A60" s="10">
        <v>58</v>
      </c>
      <c r="B60" s="25">
        <v>0.19903308</v>
      </c>
      <c r="C60" s="25">
        <v>0.49177489</v>
      </c>
      <c r="D60" s="26">
        <v>0.061707821315403</v>
      </c>
      <c r="E60" s="26">
        <v>0.0271247739602169</v>
      </c>
      <c r="F60" s="10">
        <v>100</v>
      </c>
    </row>
    <row r="61" ht="16.5" spans="1:6">
      <c r="A61" s="10">
        <v>59</v>
      </c>
      <c r="B61" s="25">
        <v>0.21123992</v>
      </c>
      <c r="C61" s="25">
        <v>0.5050187</v>
      </c>
      <c r="D61" s="26">
        <v>0.0613307122081892</v>
      </c>
      <c r="E61" s="26">
        <v>0.0269306252789321</v>
      </c>
      <c r="F61" s="10">
        <v>100</v>
      </c>
    </row>
    <row r="62" ht="16.5" spans="1:6">
      <c r="A62" s="10">
        <v>60</v>
      </c>
      <c r="B62" s="25">
        <v>0.22412015</v>
      </c>
      <c r="C62" s="25">
        <v>0.51839827</v>
      </c>
      <c r="D62" s="26">
        <v>0.0609744025868404</v>
      </c>
      <c r="E62" s="26">
        <v>0.0264932196927521</v>
      </c>
      <c r="F62" s="10">
        <v>100</v>
      </c>
    </row>
    <row r="63" ht="16.5" spans="1:6">
      <c r="A63" s="10">
        <v>61</v>
      </c>
      <c r="B63" s="25">
        <v>0.2378429</v>
      </c>
      <c r="C63" s="25">
        <v>0.53290043</v>
      </c>
      <c r="D63" s="26">
        <v>0.0612294241046587</v>
      </c>
      <c r="E63" s="26">
        <v>0.0279749478079332</v>
      </c>
      <c r="F63" s="10">
        <v>100</v>
      </c>
    </row>
    <row r="64" ht="16.5" spans="1:6">
      <c r="A64" s="10">
        <v>62</v>
      </c>
      <c r="B64" s="25">
        <v>0.25155725</v>
      </c>
      <c r="C64" s="25">
        <v>0.54718615</v>
      </c>
      <c r="D64" s="26">
        <v>0.0576613753630659</v>
      </c>
      <c r="E64" s="26">
        <v>0.0268074735987003</v>
      </c>
      <c r="F64" s="10">
        <v>100</v>
      </c>
    </row>
    <row r="65" ht="16.5" spans="1:6">
      <c r="A65" s="10">
        <v>63</v>
      </c>
      <c r="B65" s="25">
        <v>0.26648657</v>
      </c>
      <c r="C65" s="25">
        <v>0.56209408</v>
      </c>
      <c r="D65" s="26">
        <v>0.0593476059665232</v>
      </c>
      <c r="E65" s="26">
        <v>0.0272447116211052</v>
      </c>
      <c r="F65" s="10">
        <v>100</v>
      </c>
    </row>
    <row r="66" ht="16.5" spans="1:6">
      <c r="A66" s="10">
        <v>64</v>
      </c>
      <c r="B66" s="25">
        <v>0.28138819</v>
      </c>
      <c r="C66" s="25">
        <v>0.57666836</v>
      </c>
      <c r="D66" s="26">
        <v>0.0559188352071973</v>
      </c>
      <c r="E66" s="26">
        <v>0.0259285578724611</v>
      </c>
      <c r="F66" s="10">
        <v>100</v>
      </c>
    </row>
    <row r="67" ht="16.5" spans="1:6">
      <c r="A67" s="10">
        <v>65</v>
      </c>
      <c r="B67" s="25">
        <v>0.2969637</v>
      </c>
      <c r="C67" s="25">
        <v>0.59199134</v>
      </c>
      <c r="D67" s="26">
        <v>0.0553524073122995</v>
      </c>
      <c r="E67" s="26">
        <v>0.0265715585945268</v>
      </c>
      <c r="F67" s="10">
        <v>100</v>
      </c>
    </row>
    <row r="68" ht="16.5" spans="1:6">
      <c r="A68" s="10">
        <v>66</v>
      </c>
      <c r="B68" s="25">
        <v>0.31243339</v>
      </c>
      <c r="C68" s="25">
        <v>0.60714286</v>
      </c>
      <c r="D68" s="26">
        <v>0.0520928710469655</v>
      </c>
      <c r="E68" s="26">
        <v>0.0255941499085923</v>
      </c>
      <c r="F68" s="10">
        <v>100</v>
      </c>
    </row>
    <row r="69" ht="16.5" spans="1:6">
      <c r="A69" s="10">
        <v>67</v>
      </c>
      <c r="B69" s="25">
        <v>0.32923332</v>
      </c>
      <c r="C69" s="25">
        <v>0.62290888</v>
      </c>
      <c r="D69" s="26">
        <v>0.0537712418562792</v>
      </c>
      <c r="E69" s="26">
        <v>0.0259675608090118</v>
      </c>
      <c r="F69" s="10">
        <v>100</v>
      </c>
    </row>
    <row r="70" ht="16.5" spans="1:6">
      <c r="A70" s="10">
        <v>68</v>
      </c>
      <c r="B70" s="25">
        <v>0.34590087</v>
      </c>
      <c r="C70" s="25">
        <v>0.63838384</v>
      </c>
      <c r="D70" s="26">
        <v>0.0506253198477362</v>
      </c>
      <c r="E70" s="26">
        <v>0.024843059345429</v>
      </c>
      <c r="F70" s="10">
        <v>100</v>
      </c>
    </row>
    <row r="71" ht="16.5" spans="1:6">
      <c r="A71" s="10">
        <v>69</v>
      </c>
      <c r="B71" s="25">
        <v>0.36584615</v>
      </c>
      <c r="C71" s="25">
        <v>0.65497835</v>
      </c>
      <c r="D71" s="26">
        <v>0.0576618497866437</v>
      </c>
      <c r="E71" s="26">
        <v>0.025994575045208</v>
      </c>
      <c r="F71" s="10">
        <v>100</v>
      </c>
    </row>
    <row r="72" ht="16.5" spans="1:6">
      <c r="A72" s="10">
        <v>70</v>
      </c>
      <c r="B72" s="25">
        <v>0.38734905</v>
      </c>
      <c r="C72" s="25">
        <v>0.67142857</v>
      </c>
      <c r="D72" s="26">
        <v>0.0587757892760146</v>
      </c>
      <c r="E72" s="26">
        <v>0.0251156642432253</v>
      </c>
      <c r="F72" s="10">
        <v>100</v>
      </c>
    </row>
    <row r="73" ht="16.5" spans="1:6">
      <c r="A73" s="10">
        <v>71</v>
      </c>
      <c r="B73" s="25">
        <v>0.40165369</v>
      </c>
      <c r="C73" s="25">
        <v>0.68229918</v>
      </c>
      <c r="D73" s="26">
        <v>0.0369295871457454</v>
      </c>
      <c r="E73" s="26">
        <v>0.0161902715094204</v>
      </c>
      <c r="F73" s="10">
        <v>100</v>
      </c>
    </row>
    <row r="74" ht="16.5" spans="1:6">
      <c r="A74" s="10">
        <v>72</v>
      </c>
      <c r="B74" s="25">
        <v>0.4154137</v>
      </c>
      <c r="C74" s="25">
        <v>0.69285714</v>
      </c>
      <c r="D74" s="26">
        <v>0.0342583953651667</v>
      </c>
      <c r="E74" s="26">
        <v>0.015474092351075</v>
      </c>
      <c r="F74" s="10">
        <v>100</v>
      </c>
    </row>
    <row r="75" ht="16.5" spans="1:6">
      <c r="A75" s="10">
        <v>73</v>
      </c>
      <c r="B75" s="25">
        <v>0.43039004</v>
      </c>
      <c r="C75" s="25">
        <v>0.7038961</v>
      </c>
      <c r="D75" s="26">
        <v>0.0360516391707255</v>
      </c>
      <c r="E75" s="26">
        <v>0.0159325210871604</v>
      </c>
      <c r="F75" s="10">
        <v>100</v>
      </c>
    </row>
    <row r="76" ht="16.5" spans="1:6">
      <c r="A76" s="10">
        <v>74</v>
      </c>
      <c r="B76" s="25">
        <v>0.44479194</v>
      </c>
      <c r="C76" s="25">
        <v>0.71450216</v>
      </c>
      <c r="D76" s="26">
        <v>0.0334624325704553</v>
      </c>
      <c r="E76" s="26">
        <v>0.0150676506765068</v>
      </c>
      <c r="F76" s="10">
        <v>100</v>
      </c>
    </row>
    <row r="77" ht="16.5" spans="1:6">
      <c r="A77" s="10">
        <v>75</v>
      </c>
      <c r="B77" s="25">
        <v>0.46045632</v>
      </c>
      <c r="C77" s="25">
        <v>0.72554113</v>
      </c>
      <c r="D77" s="26">
        <v>0.0352173290678006</v>
      </c>
      <c r="E77" s="26">
        <v>0.0154498636776734</v>
      </c>
      <c r="F77" s="10">
        <v>100</v>
      </c>
    </row>
    <row r="78" ht="16.5" spans="1:6">
      <c r="A78" s="10">
        <v>76</v>
      </c>
      <c r="B78" s="25">
        <v>0.47551256</v>
      </c>
      <c r="C78" s="25">
        <v>0.73627239</v>
      </c>
      <c r="D78" s="26">
        <v>0.0326985147785612</v>
      </c>
      <c r="E78" s="26">
        <v>0.0147907009078232</v>
      </c>
      <c r="F78" s="10">
        <v>100</v>
      </c>
    </row>
    <row r="79" ht="16.5" spans="1:6">
      <c r="A79" s="10">
        <v>77</v>
      </c>
      <c r="B79" s="25">
        <v>0.49188017</v>
      </c>
      <c r="C79" s="25">
        <v>0.7474026</v>
      </c>
      <c r="D79" s="26">
        <v>0.034420989631714</v>
      </c>
      <c r="E79" s="26">
        <v>0.0151169733767971</v>
      </c>
      <c r="F79" s="10">
        <v>100</v>
      </c>
    </row>
    <row r="80" ht="16.5" spans="1:6">
      <c r="A80" s="10">
        <v>78</v>
      </c>
      <c r="B80" s="25">
        <v>0.5076064</v>
      </c>
      <c r="C80" s="25">
        <v>0.75815296</v>
      </c>
      <c r="D80" s="26">
        <v>0.031971658819832</v>
      </c>
      <c r="E80" s="26">
        <v>0.0143836277632976</v>
      </c>
      <c r="F80" s="10">
        <v>100</v>
      </c>
    </row>
    <row r="81" ht="16.5" spans="1:6">
      <c r="A81" s="10">
        <v>79</v>
      </c>
      <c r="B81" s="25">
        <v>0.52469192</v>
      </c>
      <c r="C81" s="25">
        <v>0.76940837</v>
      </c>
      <c r="D81" s="26">
        <v>0.0336590022804868</v>
      </c>
      <c r="E81" s="26">
        <v>0.0148458317472402</v>
      </c>
      <c r="F81" s="10">
        <v>100</v>
      </c>
    </row>
    <row r="82" ht="16.5" spans="1:6">
      <c r="A82" s="10">
        <v>80</v>
      </c>
      <c r="B82" s="25">
        <v>0.53910916</v>
      </c>
      <c r="C82" s="25">
        <v>0.78018278</v>
      </c>
      <c r="D82" s="26">
        <v>0.0274775290375096</v>
      </c>
      <c r="E82" s="26">
        <v>0.0140035008752188</v>
      </c>
      <c r="F82" s="10">
        <v>100</v>
      </c>
    </row>
    <row r="83" ht="16.5" spans="1:6">
      <c r="A83" s="10">
        <v>81</v>
      </c>
      <c r="B83" s="25">
        <v>0.5642648</v>
      </c>
      <c r="C83" s="25">
        <v>0.79134199</v>
      </c>
      <c r="D83" s="26">
        <v>0.0466614870259277</v>
      </c>
      <c r="E83" s="26">
        <v>0.0143033292231813</v>
      </c>
      <c r="F83" s="10">
        <v>100</v>
      </c>
    </row>
    <row r="84" ht="16.5" spans="1:6">
      <c r="A84" s="10">
        <v>82</v>
      </c>
      <c r="B84" s="25">
        <v>0.59025807</v>
      </c>
      <c r="C84" s="25">
        <v>0.8025974</v>
      </c>
      <c r="D84" s="26">
        <v>0.0460657437853928</v>
      </c>
      <c r="E84" s="26">
        <v>0.0142231947483589</v>
      </c>
      <c r="F84" s="10">
        <v>100</v>
      </c>
    </row>
    <row r="85" ht="16.5" spans="1:6">
      <c r="A85" s="10">
        <v>83</v>
      </c>
      <c r="B85" s="25">
        <v>0.61710685</v>
      </c>
      <c r="C85" s="25">
        <v>0.81385281</v>
      </c>
      <c r="D85" s="26">
        <v>0.0454865061812046</v>
      </c>
      <c r="E85" s="26">
        <v>0.0140237324703343</v>
      </c>
      <c r="F85" s="10">
        <v>100</v>
      </c>
    </row>
    <row r="86" ht="16.5" spans="1:6">
      <c r="A86" s="10">
        <v>84</v>
      </c>
      <c r="B86" s="25">
        <v>0.64482897</v>
      </c>
      <c r="C86" s="25">
        <v>0.82515633</v>
      </c>
      <c r="D86" s="26">
        <v>0.0449227248694981</v>
      </c>
      <c r="E86" s="26">
        <v>0.0138888888888891</v>
      </c>
      <c r="F86" s="10">
        <v>100</v>
      </c>
    </row>
    <row r="87" ht="16.5" spans="1:6">
      <c r="A87" s="10">
        <v>85</v>
      </c>
      <c r="B87" s="25">
        <v>0.67344206</v>
      </c>
      <c r="C87" s="25">
        <v>0.83658009</v>
      </c>
      <c r="D87" s="26">
        <v>0.0443731451646634</v>
      </c>
      <c r="E87" s="26">
        <v>0.0138443602448264</v>
      </c>
      <c r="F87" s="10">
        <v>100</v>
      </c>
    </row>
    <row r="88" ht="16.5" spans="1:6">
      <c r="A88" s="10">
        <v>86</v>
      </c>
      <c r="B88" s="25">
        <v>0.70296396</v>
      </c>
      <c r="C88" s="25">
        <v>0.84805195</v>
      </c>
      <c r="D88" s="26">
        <v>0.0438373206192413</v>
      </c>
      <c r="E88" s="26">
        <v>0.0137128072445021</v>
      </c>
      <c r="F88" s="10">
        <v>100</v>
      </c>
    </row>
    <row r="89" ht="16.5" spans="1:6">
      <c r="A89" s="10">
        <v>87</v>
      </c>
      <c r="B89" s="25">
        <v>0.73341356</v>
      </c>
      <c r="C89" s="25">
        <v>0.85930736</v>
      </c>
      <c r="D89" s="26">
        <v>0.0433160203471972</v>
      </c>
      <c r="E89" s="26">
        <v>0.0132720775906075</v>
      </c>
      <c r="F89" s="10">
        <v>100</v>
      </c>
    </row>
    <row r="90" ht="16.5" spans="1:6">
      <c r="A90" s="10">
        <v>88</v>
      </c>
      <c r="B90" s="25">
        <v>0.76480938</v>
      </c>
      <c r="C90" s="25">
        <v>0.87077922</v>
      </c>
      <c r="D90" s="26">
        <v>0.0428077970800411</v>
      </c>
      <c r="E90" s="26">
        <v>0.0133501259445843</v>
      </c>
      <c r="F90" s="10">
        <v>100</v>
      </c>
    </row>
    <row r="91" ht="16.5" spans="1:6">
      <c r="A91" s="10">
        <v>89</v>
      </c>
      <c r="B91" s="25">
        <v>0.7971692</v>
      </c>
      <c r="C91" s="25">
        <v>0.88225108</v>
      </c>
      <c r="D91" s="26">
        <v>0.0423109643697832</v>
      </c>
      <c r="E91" s="26">
        <v>0.013174248073577</v>
      </c>
      <c r="F91" s="10">
        <v>100</v>
      </c>
    </row>
    <row r="92" ht="16.5" spans="1:6">
      <c r="A92" s="10">
        <v>90</v>
      </c>
      <c r="B92" s="25">
        <v>0.83051272</v>
      </c>
      <c r="C92" s="25">
        <v>0.89393939</v>
      </c>
      <c r="D92" s="26">
        <v>0.0418274026374399</v>
      </c>
      <c r="E92" s="26">
        <v>0.0132482826300293</v>
      </c>
      <c r="F92" s="10">
        <v>100</v>
      </c>
    </row>
    <row r="93" ht="16.5" spans="1:6">
      <c r="A93" s="10">
        <v>91</v>
      </c>
      <c r="B93" s="25">
        <v>0.85085238</v>
      </c>
      <c r="C93" s="25">
        <v>0.9047619</v>
      </c>
      <c r="D93" s="26">
        <v>0.0244904890799753</v>
      </c>
      <c r="E93" s="26">
        <v>0.0121065375302665</v>
      </c>
      <c r="F93" s="10">
        <v>100</v>
      </c>
    </row>
    <row r="94" ht="16.5" spans="1:6">
      <c r="A94" s="10">
        <v>92</v>
      </c>
      <c r="B94" s="25">
        <v>0.87151291</v>
      </c>
      <c r="C94" s="25">
        <v>0.91594498</v>
      </c>
      <c r="D94" s="26">
        <v>0.0242821502781503</v>
      </c>
      <c r="E94" s="26">
        <v>0.012360243451216</v>
      </c>
      <c r="F94" s="10">
        <v>100</v>
      </c>
    </row>
    <row r="95" ht="16.5" spans="1:6">
      <c r="A95" s="10">
        <v>93</v>
      </c>
      <c r="B95" s="25">
        <v>0.89249623</v>
      </c>
      <c r="C95" s="25">
        <v>0.92698413</v>
      </c>
      <c r="D95" s="26">
        <v>0.0240768909178373</v>
      </c>
      <c r="E95" s="26">
        <v>0.012052192029945</v>
      </c>
      <c r="F95" s="10">
        <v>100</v>
      </c>
    </row>
    <row r="96" ht="16.5" spans="1:6">
      <c r="A96" s="10">
        <v>94</v>
      </c>
      <c r="B96" s="25">
        <v>0.91380457</v>
      </c>
      <c r="C96" s="25">
        <v>0.93809524</v>
      </c>
      <c r="D96" s="26">
        <v>0.0238749922170121</v>
      </c>
      <c r="E96" s="26">
        <v>0.0119863013698629</v>
      </c>
      <c r="F96" s="10">
        <v>100</v>
      </c>
    </row>
    <row r="97" ht="16.5" spans="1:6">
      <c r="A97" s="10">
        <v>95</v>
      </c>
      <c r="B97" s="25">
        <v>0.92790292</v>
      </c>
      <c r="C97" s="25">
        <v>0.94829245</v>
      </c>
      <c r="D97" s="26">
        <v>0.0154281950468289</v>
      </c>
      <c r="E97" s="26">
        <v>0.0108701225452494</v>
      </c>
      <c r="F97" s="10">
        <v>100</v>
      </c>
    </row>
    <row r="98" ht="16.5" spans="1:6">
      <c r="A98" s="10">
        <v>96</v>
      </c>
      <c r="B98" s="25">
        <v>0.94210763</v>
      </c>
      <c r="C98" s="25">
        <v>0.95844156</v>
      </c>
      <c r="D98" s="26">
        <v>0.0153083963177378</v>
      </c>
      <c r="E98" s="26">
        <v>0.010702510778595</v>
      </c>
      <c r="F98" s="10">
        <v>100</v>
      </c>
    </row>
    <row r="99" ht="16.5" spans="1:6">
      <c r="A99" s="10">
        <v>97</v>
      </c>
      <c r="B99" s="25">
        <v>0.95642007</v>
      </c>
      <c r="C99" s="25">
        <v>0.96883117</v>
      </c>
      <c r="D99" s="26">
        <v>0.0151919376250105</v>
      </c>
      <c r="E99" s="26">
        <v>0.0108401084010841</v>
      </c>
      <c r="F99" s="10">
        <v>100</v>
      </c>
    </row>
    <row r="100" ht="16.5" spans="1:6">
      <c r="A100" s="10">
        <v>98</v>
      </c>
      <c r="B100" s="25">
        <v>0.97083915</v>
      </c>
      <c r="C100" s="25">
        <v>0.97922078</v>
      </c>
      <c r="D100" s="26">
        <v>0.0150760945646322</v>
      </c>
      <c r="E100" s="26">
        <v>0.0107238605898123</v>
      </c>
      <c r="F100" s="10">
        <v>100</v>
      </c>
    </row>
    <row r="101" ht="16.5" spans="1:6">
      <c r="A101" s="10">
        <v>99</v>
      </c>
      <c r="B101" s="25">
        <v>0.98536575</v>
      </c>
      <c r="C101" s="25">
        <v>0.98961039</v>
      </c>
      <c r="D101" s="26">
        <v>0.0149629294924543</v>
      </c>
      <c r="E101" s="26">
        <v>0.0106100795755968</v>
      </c>
      <c r="F101" s="10">
        <v>100</v>
      </c>
    </row>
    <row r="102" ht="16.5" spans="1:6">
      <c r="A102" s="10">
        <v>100</v>
      </c>
      <c r="B102" s="25">
        <v>1</v>
      </c>
      <c r="C102" s="25">
        <v>1</v>
      </c>
      <c r="D102" s="26">
        <v>0.0148515963551559</v>
      </c>
      <c r="E102" s="26">
        <v>0.0104986876640421</v>
      </c>
      <c r="F102" s="10">
        <v>100</v>
      </c>
    </row>
    <row r="104" spans="1:6">
      <c r="A104" s="9" t="s">
        <v>669</v>
      </c>
    </row>
    <row r="107" spans="1:6">
      <c r="A107" s="9" t="s">
        <v>670</v>
      </c>
    </row>
  </sheetData>
  <autoFilter xmlns:etc="http://www.wps.cn/officeDocument/2017/etCustomData" ref="A2:F102" etc:filterBottomFollowUsedRange="0">
    <extLst/>
  </autoFilter>
  <mergeCells count="3">
    <mergeCell ref="A1:F1"/>
    <mergeCell ref="A107:F109"/>
    <mergeCell ref="A104:F10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workbookViewId="0">
      <selection activeCell="A1" sqref="A1:I1"/>
    </sheetView>
  </sheetViews>
  <sheetFormatPr defaultColWidth="9" defaultRowHeight="13.5"/>
  <cols>
    <col min="1" max="1" width="30" customWidth="1"/>
    <col min="2" max="2" width="14" customWidth="1"/>
    <col min="3" max="3" width="22" customWidth="1"/>
    <col min="4" max="4" width="18" customWidth="1"/>
    <col min="5" max="5" width="9" customWidth="1"/>
    <col min="6" max="6" width="70" customWidth="1"/>
    <col min="7" max="7" width="12" customWidth="1"/>
    <col min="8" max="8" width="9" customWidth="1"/>
    <col min="9" max="9" width="56" customWidth="1"/>
  </cols>
  <sheetData>
    <row r="1" ht="26" customHeight="1" spans="1:9">
      <c r="A1" s="1" t="s">
        <v>671</v>
      </c>
    </row>
    <row r="2" ht="30" customHeight="1" spans="1:9">
      <c r="A2" s="3" t="s">
        <v>672</v>
      </c>
      <c r="B2" s="3" t="s">
        <v>296</v>
      </c>
      <c r="C2" s="3" t="s">
        <v>673</v>
      </c>
      <c r="D2" s="3" t="s">
        <v>674</v>
      </c>
      <c r="E2" s="3" t="s">
        <v>675</v>
      </c>
      <c r="F2" s="3" t="s">
        <v>676</v>
      </c>
      <c r="G2" s="3" t="s">
        <v>677</v>
      </c>
      <c r="H2" s="3" t="s">
        <v>32</v>
      </c>
      <c r="I2" s="3" t="s">
        <v>33</v>
      </c>
    </row>
    <row r="3" ht="33" spans="1:9">
      <c r="A3" s="10" t="s">
        <v>678</v>
      </c>
      <c r="B3" s="16" t="s">
        <v>679</v>
      </c>
      <c r="C3" s="10" t="s">
        <v>680</v>
      </c>
      <c r="D3" s="10" t="s">
        <v>681</v>
      </c>
      <c r="E3" s="10" t="s">
        <v>682</v>
      </c>
      <c r="F3" s="10" t="s">
        <v>683</v>
      </c>
      <c r="G3" s="10" t="s">
        <v>684</v>
      </c>
      <c r="H3" s="10" t="s">
        <v>39</v>
      </c>
      <c r="I3" s="16" t="s">
        <v>685</v>
      </c>
    </row>
    <row r="4" ht="33" spans="1:9">
      <c r="A4" s="10" t="s">
        <v>678</v>
      </c>
      <c r="B4" s="16" t="s">
        <v>686</v>
      </c>
      <c r="C4" s="10" t="s">
        <v>687</v>
      </c>
      <c r="D4" s="10" t="s">
        <v>688</v>
      </c>
      <c r="E4" s="10" t="s">
        <v>689</v>
      </c>
      <c r="F4" s="10" t="s">
        <v>690</v>
      </c>
      <c r="G4" s="10" t="s">
        <v>691</v>
      </c>
      <c r="H4" s="10" t="s">
        <v>39</v>
      </c>
      <c r="I4" s="16" t="s">
        <v>692</v>
      </c>
    </row>
    <row r="5" ht="33" spans="1:9">
      <c r="A5" s="10" t="s">
        <v>678</v>
      </c>
      <c r="B5" s="16" t="s">
        <v>693</v>
      </c>
      <c r="C5" s="10" t="s">
        <v>694</v>
      </c>
      <c r="D5" s="10" t="s">
        <v>695</v>
      </c>
      <c r="E5" s="10" t="s">
        <v>696</v>
      </c>
      <c r="F5" s="10" t="s">
        <v>697</v>
      </c>
      <c r="G5" s="10" t="s">
        <v>698</v>
      </c>
      <c r="H5" s="10" t="s">
        <v>39</v>
      </c>
      <c r="I5" s="16" t="s">
        <v>699</v>
      </c>
    </row>
    <row r="6" ht="33" spans="1:9">
      <c r="A6" s="10" t="s">
        <v>678</v>
      </c>
      <c r="B6" s="16" t="s">
        <v>700</v>
      </c>
      <c r="C6" s="10" t="s">
        <v>701</v>
      </c>
      <c r="D6" s="10" t="s">
        <v>702</v>
      </c>
      <c r="E6" s="10" t="s">
        <v>703</v>
      </c>
      <c r="F6" s="10" t="s">
        <v>704</v>
      </c>
      <c r="G6" s="10" t="s">
        <v>705</v>
      </c>
      <c r="H6" s="10" t="s">
        <v>39</v>
      </c>
      <c r="I6" s="16" t="s">
        <v>706</v>
      </c>
    </row>
    <row r="7" ht="16.5" spans="1:9">
      <c r="A7" s="10" t="s">
        <v>707</v>
      </c>
      <c r="B7" s="16" t="s">
        <v>708</v>
      </c>
      <c r="C7" s="10" t="s">
        <v>709</v>
      </c>
      <c r="D7" s="10" t="s">
        <v>710</v>
      </c>
      <c r="E7" s="10" t="s">
        <v>711</v>
      </c>
      <c r="F7" s="10" t="s">
        <v>712</v>
      </c>
      <c r="G7" s="10" t="s">
        <v>61</v>
      </c>
      <c r="H7" s="10" t="s">
        <v>39</v>
      </c>
      <c r="I7" s="16" t="s">
        <v>713</v>
      </c>
    </row>
    <row r="9" ht="16.5" spans="1:9">
      <c r="A9" s="2" t="s">
        <v>714</v>
      </c>
    </row>
    <row r="10" ht="30" customHeight="1" spans="1:9">
      <c r="A10" s="3" t="s">
        <v>296</v>
      </c>
      <c r="B10" s="3" t="s">
        <v>715</v>
      </c>
      <c r="C10" s="3" t="s">
        <v>716</v>
      </c>
      <c r="D10" s="3" t="s">
        <v>717</v>
      </c>
      <c r="E10" s="3" t="s">
        <v>32</v>
      </c>
      <c r="F10" s="3" t="s">
        <v>33</v>
      </c>
    </row>
    <row r="11" ht="16.5" spans="1:9">
      <c r="A11" s="16" t="s">
        <v>718</v>
      </c>
      <c r="B11" s="10" t="s">
        <v>719</v>
      </c>
      <c r="C11" s="4" t="s">
        <v>720</v>
      </c>
      <c r="D11" s="10" t="s">
        <v>719</v>
      </c>
      <c r="E11" s="10" t="s">
        <v>39</v>
      </c>
      <c r="F11" s="16" t="s">
        <v>721</v>
      </c>
    </row>
    <row r="12" ht="16.5" spans="1:9">
      <c r="A12" s="16" t="s">
        <v>722</v>
      </c>
      <c r="B12" s="10" t="s">
        <v>723</v>
      </c>
      <c r="C12" s="4" t="s">
        <v>724</v>
      </c>
      <c r="D12" s="10" t="s">
        <v>725</v>
      </c>
      <c r="E12" s="10" t="s">
        <v>39</v>
      </c>
      <c r="F12" s="16" t="s">
        <v>707</v>
      </c>
    </row>
    <row r="13" ht="16.5" spans="1:9">
      <c r="A13" s="16" t="s">
        <v>726</v>
      </c>
      <c r="B13" s="10" t="s">
        <v>727</v>
      </c>
      <c r="C13" s="4" t="s">
        <v>728</v>
      </c>
      <c r="D13" s="10" t="s">
        <v>729</v>
      </c>
      <c r="E13" s="10" t="s">
        <v>39</v>
      </c>
      <c r="F13" s="16" t="s">
        <v>707</v>
      </c>
    </row>
    <row r="14" ht="16.5" spans="1:9">
      <c r="A14" s="16" t="s">
        <v>730</v>
      </c>
      <c r="B14" s="10" t="s">
        <v>731</v>
      </c>
      <c r="C14" s="4" t="s">
        <v>732</v>
      </c>
      <c r="D14" s="10" t="s">
        <v>731</v>
      </c>
      <c r="E14" s="10" t="s">
        <v>39</v>
      </c>
      <c r="F14" s="16" t="s">
        <v>733</v>
      </c>
    </row>
    <row r="15" ht="16.5" spans="1:9">
      <c r="A15" s="16" t="s">
        <v>678</v>
      </c>
      <c r="B15" s="10" t="s">
        <v>734</v>
      </c>
      <c r="C15" s="4" t="s">
        <v>735</v>
      </c>
      <c r="D15" s="10" t="s">
        <v>736</v>
      </c>
      <c r="E15" s="10" t="s">
        <v>39</v>
      </c>
      <c r="F15" s="16" t="s">
        <v>737</v>
      </c>
    </row>
    <row r="16" ht="16.5" spans="1:9">
      <c r="A16" s="16" t="s">
        <v>738</v>
      </c>
      <c r="B16" s="10" t="s">
        <v>739</v>
      </c>
      <c r="C16" s="4" t="s">
        <v>740</v>
      </c>
      <c r="D16" s="10" t="s">
        <v>741</v>
      </c>
      <c r="E16" s="10" t="s">
        <v>39</v>
      </c>
      <c r="F16" s="16" t="s">
        <v>742</v>
      </c>
    </row>
    <row r="17" ht="16.5" spans="1:6">
      <c r="A17" s="16" t="s">
        <v>708</v>
      </c>
      <c r="B17" s="10" t="s">
        <v>719</v>
      </c>
      <c r="C17" s="4" t="s">
        <v>743</v>
      </c>
      <c r="D17" s="10" t="s">
        <v>744</v>
      </c>
      <c r="E17" s="10" t="s">
        <v>39</v>
      </c>
      <c r="F17" s="16" t="s">
        <v>3</v>
      </c>
    </row>
    <row r="18" ht="33" spans="1:6">
      <c r="A18" s="16" t="s">
        <v>745</v>
      </c>
      <c r="B18" s="10" t="s">
        <v>746</v>
      </c>
      <c r="C18" s="4" t="s">
        <v>720</v>
      </c>
      <c r="D18" s="10" t="s">
        <v>746</v>
      </c>
      <c r="E18" s="10" t="s">
        <v>129</v>
      </c>
      <c r="F18" s="16" t="s">
        <v>747</v>
      </c>
    </row>
    <row r="20" spans="1:6">
      <c r="A20" s="9" t="s">
        <v>748</v>
      </c>
    </row>
    <row r="23" spans="1:6">
      <c r="A23" s="9" t="s">
        <v>749</v>
      </c>
    </row>
  </sheetData>
  <mergeCells count="4">
    <mergeCell ref="A1:I1"/>
    <mergeCell ref="A9:I9"/>
    <mergeCell ref="A23:I24"/>
    <mergeCell ref="A20:I21"/>
  </mergeCells>
  <conditionalFormatting sqref="E11:E18">
    <cfRule type="cellIs" dxfId="0" priority="4" operator="equal">
      <formula>"实测"</formula>
    </cfRule>
    <cfRule type="cellIs" dxfId="1" priority="5" operator="equal">
      <formula>"待补录"</formula>
    </cfRule>
    <cfRule type="cellIs" dxfId="2" priority="6" operator="equal">
      <formula>"存疑"</formula>
    </cfRule>
  </conditionalFormatting>
  <conditionalFormatting sqref="H3:H7">
    <cfRule type="cellIs" dxfId="0" priority="1" operator="equal">
      <formula>"实测"</formula>
    </cfRule>
    <cfRule type="cellIs" dxfId="1" priority="2" operator="equal">
      <formula>"待补录"</formula>
    </cfRule>
    <cfRule type="cellIs" dxfId="2" priority="3" operator="equal">
      <formula>"存疑"</formula>
    </cfRule>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36"/>
  <sheetViews>
    <sheetView workbookViewId="0">
      <pane xSplit="1" ySplit="2" topLeftCell="B3" activePane="bottomRight" state="frozen"/>
      <selection/>
      <selection pane="topRight"/>
      <selection pane="bottomLeft"/>
      <selection pane="bottomRight" activeCell="AB2" sqref="AB$1:AC$1048576"/>
    </sheetView>
  </sheetViews>
  <sheetFormatPr defaultColWidth="9" defaultRowHeight="13.5"/>
  <cols>
    <col min="1" max="1" width="12" customWidth="1"/>
    <col min="2" max="2" width="6" customWidth="1"/>
    <col min="3" max="3" width="8" customWidth="1"/>
    <col min="4" max="5" width="10" customWidth="1"/>
    <col min="6" max="6" width="12" customWidth="1"/>
    <col min="7" max="7" width="13" customWidth="1"/>
    <col min="8" max="9" width="8" customWidth="1"/>
    <col min="10" max="13" width="7" customWidth="1"/>
    <col min="14" max="14" width="14" customWidth="1"/>
    <col min="15" max="18" width="13" customWidth="1"/>
    <col min="19" max="20" width="14" customWidth="1"/>
    <col min="21" max="24" width="10" customWidth="1"/>
    <col min="25" max="29" width="12" customWidth="1"/>
    <col min="30" max="32" width="14" customWidth="1"/>
    <col min="33" max="34" width="12" customWidth="1"/>
    <col min="35" max="36" width="11" customWidth="1"/>
    <col min="37" max="40" width="12" customWidth="1"/>
    <col min="41" max="41" width="13" customWidth="1"/>
    <col min="42" max="42" width="12" customWidth="1"/>
    <col min="43" max="43" width="9" customWidth="1"/>
    <col min="44" max="44" width="34" customWidth="1"/>
  </cols>
  <sheetData>
    <row r="1" ht="26" customHeight="1" spans="1:44">
      <c r="A1" s="1" t="s">
        <v>750</v>
      </c>
    </row>
    <row r="2" ht="30" customHeight="1" spans="1:44">
      <c r="A2" s="3" t="s">
        <v>142</v>
      </c>
      <c r="B2" s="3" t="s">
        <v>751</v>
      </c>
      <c r="C2" s="3" t="s">
        <v>752</v>
      </c>
      <c r="D2" s="3" t="s">
        <v>753</v>
      </c>
      <c r="E2" s="3" t="s">
        <v>754</v>
      </c>
      <c r="F2" s="3" t="s">
        <v>755</v>
      </c>
      <c r="G2" s="3" t="s">
        <v>228</v>
      </c>
      <c r="H2" s="3" t="s">
        <v>756</v>
      </c>
      <c r="I2" s="3" t="s">
        <v>757</v>
      </c>
      <c r="J2" s="3" t="s">
        <v>758</v>
      </c>
      <c r="K2" s="3" t="s">
        <v>759</v>
      </c>
      <c r="L2" s="3" t="s">
        <v>760</v>
      </c>
      <c r="M2" s="3" t="s">
        <v>761</v>
      </c>
      <c r="N2" s="3" t="s">
        <v>226</v>
      </c>
      <c r="O2" s="3" t="s">
        <v>762</v>
      </c>
      <c r="P2" s="3" t="s">
        <v>763</v>
      </c>
      <c r="Q2" s="3" t="s">
        <v>764</v>
      </c>
      <c r="R2" s="3" t="s">
        <v>765</v>
      </c>
      <c r="S2" s="3" t="s">
        <v>766</v>
      </c>
      <c r="T2" s="3" t="s">
        <v>767</v>
      </c>
      <c r="U2" s="3" t="s">
        <v>768</v>
      </c>
      <c r="V2" s="3" t="s">
        <v>769</v>
      </c>
      <c r="W2" s="3" t="s">
        <v>770</v>
      </c>
      <c r="X2" s="3" t="s">
        <v>771</v>
      </c>
      <c r="Y2" s="3" t="s">
        <v>772</v>
      </c>
      <c r="Z2" s="3" t="s">
        <v>773</v>
      </c>
      <c r="AA2" s="3" t="s">
        <v>267</v>
      </c>
      <c r="AB2" s="3" t="s">
        <v>268</v>
      </c>
      <c r="AC2" s="3" t="s">
        <v>270</v>
      </c>
      <c r="AD2" s="3" t="s">
        <v>774</v>
      </c>
      <c r="AE2" s="3" t="s">
        <v>148</v>
      </c>
      <c r="AF2" s="3" t="s">
        <v>775</v>
      </c>
      <c r="AG2" s="3" t="s">
        <v>776</v>
      </c>
      <c r="AH2" s="3" t="s">
        <v>777</v>
      </c>
      <c r="AI2" s="3" t="s">
        <v>778</v>
      </c>
      <c r="AJ2" s="3" t="s">
        <v>779</v>
      </c>
      <c r="AK2" s="3" t="s">
        <v>780</v>
      </c>
      <c r="AL2" s="3" t="s">
        <v>781</v>
      </c>
      <c r="AM2" s="3" t="s">
        <v>782</v>
      </c>
      <c r="AN2" s="3" t="s">
        <v>783</v>
      </c>
      <c r="AO2" s="3" t="s">
        <v>784</v>
      </c>
      <c r="AP2" s="3" t="s">
        <v>785</v>
      </c>
      <c r="AQ2" s="3" t="s">
        <v>32</v>
      </c>
      <c r="AR2" s="3" t="s">
        <v>786</v>
      </c>
    </row>
    <row r="3" ht="16.5" spans="1:44">
      <c r="A3" s="4" t="s">
        <v>787</v>
      </c>
      <c r="B3" s="10">
        <v>6</v>
      </c>
      <c r="C3" s="10" t="s">
        <v>788</v>
      </c>
      <c r="D3" s="10" t="s">
        <v>300</v>
      </c>
      <c r="E3" s="10" t="s">
        <v>789</v>
      </c>
      <c r="F3" s="4" t="s">
        <v>790</v>
      </c>
      <c r="G3" s="4">
        <v>500</v>
      </c>
      <c r="H3" s="10" t="s">
        <v>759</v>
      </c>
      <c r="I3" s="10" t="s">
        <v>758</v>
      </c>
      <c r="J3" s="10">
        <v>123</v>
      </c>
      <c r="K3" s="10">
        <v>140</v>
      </c>
      <c r="L3" s="10">
        <v>96</v>
      </c>
      <c r="M3" s="10">
        <v>107</v>
      </c>
      <c r="N3" s="10">
        <v>319</v>
      </c>
      <c r="O3" s="10">
        <v>0</v>
      </c>
      <c r="P3" s="10">
        <v>156</v>
      </c>
      <c r="Q3" s="10">
        <v>0</v>
      </c>
      <c r="R3" s="10">
        <v>0</v>
      </c>
      <c r="S3" s="10">
        <v>0</v>
      </c>
      <c r="T3" s="10">
        <v>0</v>
      </c>
      <c r="U3" s="21">
        <f t="shared" ref="U3:U29" si="0">J3+O3+IF($H3="力量",S3,0)+IF($I3="力量",T3,0)</f>
        <v>123</v>
      </c>
      <c r="V3" s="21">
        <f t="shared" ref="V3:V29" si="1">K3+P3+IF($H3="敏捷",S3,0)+IF($I3="敏捷",T3,0)</f>
        <v>296</v>
      </c>
      <c r="W3" s="21">
        <f t="shared" ref="W3:W29" si="2">L3+Q3+IF($H3="智识",S3,0)+IF($I3="智识",T3,0)</f>
        <v>96</v>
      </c>
      <c r="X3" s="21">
        <f t="shared" ref="X3:X29" si="3">M3+R3+IF($H3="意志",S3,0)+IF($I3="意志",T3,0)</f>
        <v>107</v>
      </c>
      <c r="Y3" s="21">
        <f>V3</f>
        <v>296</v>
      </c>
      <c r="Z3" s="21">
        <f>U3</f>
        <v>123</v>
      </c>
      <c r="AA3" s="22">
        <f t="shared" ref="AA3:AA29" si="4">Y3*0.005+Z3*0.002</f>
        <v>1.726</v>
      </c>
      <c r="AB3" s="23" t="e">
        <f>(N3+G3)*(1+#REF!)+#REF!</f>
        <v>#REF!</v>
      </c>
      <c r="AC3" s="23" t="e">
        <f t="shared" ref="AC3:AC29" si="5">AB3*(1+AA3)</f>
        <v>#REF!</v>
      </c>
      <c r="AD3" s="10">
        <v>5495</v>
      </c>
      <c r="AE3" s="10">
        <v>0</v>
      </c>
      <c r="AF3" s="5">
        <v>0</v>
      </c>
      <c r="AG3" s="21">
        <f t="shared" ref="AG3:AG29" si="6">AE3+AF3</f>
        <v>0</v>
      </c>
      <c r="AH3" s="11">
        <f t="shared" ref="AH3:AH29" si="7">IF(AG3&gt;=0,100/(AG3+100),2-0.99^(-AG3))</f>
        <v>1</v>
      </c>
      <c r="AI3" s="6">
        <f t="shared" ref="AI3:AI29" si="8">100-100/(0.001*V3+1)</f>
        <v>22.8395061728395</v>
      </c>
      <c r="AJ3" s="6">
        <f t="shared" ref="AJ3:AJ29" si="9">100-100/(0.001*W3+1)</f>
        <v>8.75912408759125</v>
      </c>
      <c r="AK3" s="11">
        <f t="shared" ref="AK3:AK29" si="10">MAX(0.1,1-AI3/100)</f>
        <v>0.771604938271605</v>
      </c>
      <c r="AL3" s="11">
        <f t="shared" ref="AL3:AL29" si="11">MAX(0.1,1-AJ3/100)</f>
        <v>0.912408759124087</v>
      </c>
      <c r="AM3" s="10">
        <v>0</v>
      </c>
      <c r="AN3" s="24" t="e">
        <f>0.05+AM3+#REF!</f>
        <v>#REF!</v>
      </c>
      <c r="AO3" s="24" t="e">
        <f>0.5+#REF!</f>
        <v>#REF!</v>
      </c>
      <c r="AP3" s="22" t="e">
        <f t="shared" ref="AP3:AP29" si="12">1+AN3*AO3</f>
        <v>#REF!</v>
      </c>
      <c r="AQ3" s="10" t="s">
        <v>39</v>
      </c>
      <c r="AR3" s="16" t="s">
        <v>791</v>
      </c>
    </row>
    <row r="4" ht="16.5" spans="1:44">
      <c r="A4" s="4" t="s">
        <v>792</v>
      </c>
      <c r="B4" s="10">
        <v>5</v>
      </c>
      <c r="C4" s="10" t="s">
        <v>788</v>
      </c>
      <c r="D4" s="10" t="s">
        <v>300</v>
      </c>
      <c r="E4" s="10" t="s">
        <v>789</v>
      </c>
      <c r="F4" s="4" t="s">
        <v>793</v>
      </c>
      <c r="G4" s="4">
        <v>495</v>
      </c>
      <c r="H4" s="10" t="s">
        <v>759</v>
      </c>
      <c r="I4" s="10" t="s">
        <v>758</v>
      </c>
      <c r="J4" s="10">
        <v>106</v>
      </c>
      <c r="K4" s="10">
        <v>171</v>
      </c>
      <c r="L4" s="10">
        <v>85</v>
      </c>
      <c r="M4" s="10">
        <v>93</v>
      </c>
      <c r="N4" s="10">
        <v>297</v>
      </c>
      <c r="O4" s="10">
        <v>0</v>
      </c>
      <c r="P4" s="10">
        <v>0</v>
      </c>
      <c r="Q4" s="10">
        <v>0</v>
      </c>
      <c r="R4" s="10">
        <v>0</v>
      </c>
      <c r="S4" s="10">
        <v>132</v>
      </c>
      <c r="T4" s="10">
        <v>0</v>
      </c>
      <c r="U4" s="21">
        <f t="shared" si="0"/>
        <v>106</v>
      </c>
      <c r="V4" s="21">
        <f t="shared" si="1"/>
        <v>303</v>
      </c>
      <c r="W4" s="21">
        <f t="shared" si="2"/>
        <v>85</v>
      </c>
      <c r="X4" s="21">
        <f t="shared" si="3"/>
        <v>93</v>
      </c>
      <c r="Y4" s="21">
        <f>V4</f>
        <v>303</v>
      </c>
      <c r="Z4" s="21">
        <f>U4</f>
        <v>106</v>
      </c>
      <c r="AA4" s="22">
        <f t="shared" si="4"/>
        <v>1.727</v>
      </c>
      <c r="AB4" s="23" t="e">
        <f>(N4+G4)*(1+#REF!)+#REF!</f>
        <v>#REF!</v>
      </c>
      <c r="AC4" s="23" t="e">
        <f t="shared" si="5"/>
        <v>#REF!</v>
      </c>
      <c r="AD4" s="10">
        <v>5495</v>
      </c>
      <c r="AE4" s="10">
        <v>0</v>
      </c>
      <c r="AF4" s="5">
        <v>0</v>
      </c>
      <c r="AG4" s="21">
        <f t="shared" si="6"/>
        <v>0</v>
      </c>
      <c r="AH4" s="11">
        <f t="shared" si="7"/>
        <v>1</v>
      </c>
      <c r="AI4" s="6">
        <f t="shared" si="8"/>
        <v>23.2540291634689</v>
      </c>
      <c r="AJ4" s="6">
        <f t="shared" si="9"/>
        <v>7.83410138248847</v>
      </c>
      <c r="AK4" s="11">
        <f t="shared" si="10"/>
        <v>0.767459708365311</v>
      </c>
      <c r="AL4" s="11">
        <f t="shared" si="11"/>
        <v>0.921658986175115</v>
      </c>
      <c r="AM4" s="10">
        <v>0.195</v>
      </c>
      <c r="AN4" s="24" t="e">
        <f>0.05+AM4+#REF!</f>
        <v>#REF!</v>
      </c>
      <c r="AO4" s="24" t="e">
        <f>0.5+#REF!</f>
        <v>#REF!</v>
      </c>
      <c r="AP4" s="22" t="e">
        <f t="shared" si="12"/>
        <v>#REF!</v>
      </c>
      <c r="AQ4" s="10" t="s">
        <v>39</v>
      </c>
      <c r="AR4" s="16" t="s">
        <v>794</v>
      </c>
    </row>
    <row r="5" ht="16.5" spans="1:44">
      <c r="A5" s="4" t="s">
        <v>795</v>
      </c>
      <c r="B5" s="10">
        <v>6</v>
      </c>
      <c r="C5" s="10" t="s">
        <v>796</v>
      </c>
      <c r="D5" s="10" t="s">
        <v>300</v>
      </c>
      <c r="E5" s="10" t="s">
        <v>789</v>
      </c>
      <c r="F5" s="4" t="s">
        <v>797</v>
      </c>
      <c r="G5" s="4">
        <v>500</v>
      </c>
      <c r="H5" s="10" t="s">
        <v>761</v>
      </c>
      <c r="I5" s="10" t="s">
        <v>759</v>
      </c>
      <c r="J5" s="10">
        <v>101</v>
      </c>
      <c r="K5" s="10">
        <v>110</v>
      </c>
      <c r="L5" s="10">
        <v>97</v>
      </c>
      <c r="M5" s="10">
        <v>173</v>
      </c>
      <c r="N5" s="10">
        <v>321</v>
      </c>
      <c r="O5" s="10">
        <v>0</v>
      </c>
      <c r="P5" s="10">
        <v>0</v>
      </c>
      <c r="Q5" s="10">
        <v>0</v>
      </c>
      <c r="R5" s="10">
        <v>156</v>
      </c>
      <c r="S5" s="10">
        <v>0</v>
      </c>
      <c r="T5" s="10">
        <v>0</v>
      </c>
      <c r="U5" s="21">
        <f t="shared" si="0"/>
        <v>101</v>
      </c>
      <c r="V5" s="21">
        <f t="shared" si="1"/>
        <v>110</v>
      </c>
      <c r="W5" s="21">
        <f t="shared" si="2"/>
        <v>97</v>
      </c>
      <c r="X5" s="21">
        <f t="shared" si="3"/>
        <v>329</v>
      </c>
      <c r="Y5" s="21">
        <f>X5</f>
        <v>329</v>
      </c>
      <c r="Z5" s="21">
        <f>V5</f>
        <v>110</v>
      </c>
      <c r="AA5" s="22">
        <f t="shared" si="4"/>
        <v>1.865</v>
      </c>
      <c r="AB5" s="23" t="e">
        <f>(N5+G5)*(1+#REF!)+#REF!</f>
        <v>#REF!</v>
      </c>
      <c r="AC5" s="23" t="e">
        <f t="shared" si="5"/>
        <v>#REF!</v>
      </c>
      <c r="AD5" s="10">
        <v>5495</v>
      </c>
      <c r="AE5" s="10">
        <v>0</v>
      </c>
      <c r="AF5" s="5">
        <v>0</v>
      </c>
      <c r="AG5" s="21">
        <f t="shared" si="6"/>
        <v>0</v>
      </c>
      <c r="AH5" s="11">
        <f t="shared" si="7"/>
        <v>1</v>
      </c>
      <c r="AI5" s="6">
        <f t="shared" si="8"/>
        <v>9.90990990990991</v>
      </c>
      <c r="AJ5" s="6">
        <f t="shared" si="9"/>
        <v>8.84229717411121</v>
      </c>
      <c r="AK5" s="11">
        <f t="shared" si="10"/>
        <v>0.900900900900901</v>
      </c>
      <c r="AL5" s="11">
        <f t="shared" si="11"/>
        <v>0.911577028258888</v>
      </c>
      <c r="AM5" s="10">
        <v>0</v>
      </c>
      <c r="AN5" s="24" t="e">
        <f>0.05+AM5+#REF!</f>
        <v>#REF!</v>
      </c>
      <c r="AO5" s="24" t="e">
        <f>0.5+#REF!</f>
        <v>#REF!</v>
      </c>
      <c r="AP5" s="22" t="e">
        <f t="shared" si="12"/>
        <v>#REF!</v>
      </c>
      <c r="AQ5" s="10" t="s">
        <v>39</v>
      </c>
      <c r="AR5" s="16" t="s">
        <v>798</v>
      </c>
    </row>
    <row r="6" ht="16.5" spans="1:44">
      <c r="A6" s="4" t="s">
        <v>799</v>
      </c>
      <c r="B6" s="10">
        <v>6</v>
      </c>
      <c r="C6" s="10" t="s">
        <v>788</v>
      </c>
      <c r="D6" s="10" t="s">
        <v>300</v>
      </c>
      <c r="E6" s="10" t="s">
        <v>800</v>
      </c>
      <c r="F6" s="4" t="s">
        <v>801</v>
      </c>
      <c r="G6" s="4">
        <v>500</v>
      </c>
      <c r="H6" s="10" t="s">
        <v>759</v>
      </c>
      <c r="I6" s="10" t="s">
        <v>758</v>
      </c>
      <c r="J6" s="10">
        <v>123</v>
      </c>
      <c r="K6" s="10">
        <v>132</v>
      </c>
      <c r="L6" s="10">
        <v>115</v>
      </c>
      <c r="M6" s="10">
        <v>117</v>
      </c>
      <c r="N6" s="10">
        <v>312</v>
      </c>
      <c r="O6" s="10">
        <v>0</v>
      </c>
      <c r="P6" s="10">
        <v>156</v>
      </c>
      <c r="Q6" s="10">
        <v>0</v>
      </c>
      <c r="R6" s="10">
        <v>0</v>
      </c>
      <c r="S6" s="10">
        <v>0</v>
      </c>
      <c r="T6" s="10">
        <v>0</v>
      </c>
      <c r="U6" s="21">
        <f t="shared" si="0"/>
        <v>123</v>
      </c>
      <c r="V6" s="21">
        <f t="shared" si="1"/>
        <v>288</v>
      </c>
      <c r="W6" s="21">
        <f t="shared" si="2"/>
        <v>115</v>
      </c>
      <c r="X6" s="21">
        <f t="shared" si="3"/>
        <v>117</v>
      </c>
      <c r="Y6" s="21">
        <f>V6</f>
        <v>288</v>
      </c>
      <c r="Z6" s="21">
        <f>U6</f>
        <v>123</v>
      </c>
      <c r="AA6" s="22">
        <f t="shared" si="4"/>
        <v>1.686</v>
      </c>
      <c r="AB6" s="23" t="e">
        <f>(N6+G6)*(1+#REF!)+#REF!</f>
        <v>#REF!</v>
      </c>
      <c r="AC6" s="23" t="e">
        <f t="shared" si="5"/>
        <v>#REF!</v>
      </c>
      <c r="AD6" s="10">
        <v>5495</v>
      </c>
      <c r="AE6" s="10">
        <v>0</v>
      </c>
      <c r="AF6" s="5">
        <v>0</v>
      </c>
      <c r="AG6" s="21">
        <f t="shared" si="6"/>
        <v>0</v>
      </c>
      <c r="AH6" s="11">
        <f t="shared" si="7"/>
        <v>1</v>
      </c>
      <c r="AI6" s="6">
        <f t="shared" si="8"/>
        <v>22.360248447205</v>
      </c>
      <c r="AJ6" s="6">
        <f t="shared" si="9"/>
        <v>10.3139013452915</v>
      </c>
      <c r="AK6" s="11">
        <f t="shared" si="10"/>
        <v>0.77639751552795</v>
      </c>
      <c r="AL6" s="11">
        <f t="shared" si="11"/>
        <v>0.896860986547085</v>
      </c>
      <c r="AM6" s="10">
        <v>0</v>
      </c>
      <c r="AN6" s="24" t="e">
        <f>0.05+AM6+#REF!</f>
        <v>#REF!</v>
      </c>
      <c r="AO6" s="24" t="e">
        <f>0.5+#REF!</f>
        <v>#REF!</v>
      </c>
      <c r="AP6" s="22" t="e">
        <f t="shared" si="12"/>
        <v>#REF!</v>
      </c>
      <c r="AQ6" s="10" t="s">
        <v>39</v>
      </c>
      <c r="AR6" s="16" t="s">
        <v>802</v>
      </c>
    </row>
    <row r="7" ht="16.5" spans="1:44">
      <c r="A7" s="4" t="s">
        <v>803</v>
      </c>
      <c r="B7" s="10">
        <v>6</v>
      </c>
      <c r="C7" s="10" t="s">
        <v>804</v>
      </c>
      <c r="D7" s="10" t="s">
        <v>301</v>
      </c>
      <c r="E7" s="10" t="s">
        <v>805</v>
      </c>
      <c r="F7" s="4" t="s">
        <v>806</v>
      </c>
      <c r="G7" s="4">
        <v>495</v>
      </c>
      <c r="H7" s="10" t="s">
        <v>758</v>
      </c>
      <c r="I7" s="10" t="s">
        <v>761</v>
      </c>
      <c r="J7" s="10">
        <v>176</v>
      </c>
      <c r="K7" s="10">
        <v>96</v>
      </c>
      <c r="L7" s="10">
        <v>86</v>
      </c>
      <c r="M7" s="10">
        <v>120</v>
      </c>
      <c r="N7" s="10">
        <v>323</v>
      </c>
      <c r="O7" s="10">
        <v>156</v>
      </c>
      <c r="P7" s="10">
        <v>0</v>
      </c>
      <c r="Q7" s="10">
        <v>0</v>
      </c>
      <c r="R7" s="10">
        <v>0</v>
      </c>
      <c r="S7" s="10">
        <v>0</v>
      </c>
      <c r="T7" s="10">
        <v>0</v>
      </c>
      <c r="U7" s="21">
        <f t="shared" si="0"/>
        <v>332</v>
      </c>
      <c r="V7" s="21">
        <f t="shared" si="1"/>
        <v>96</v>
      </c>
      <c r="W7" s="21">
        <f t="shared" si="2"/>
        <v>86</v>
      </c>
      <c r="X7" s="21">
        <f t="shared" si="3"/>
        <v>120</v>
      </c>
      <c r="Y7" s="21">
        <f>U7</f>
        <v>332</v>
      </c>
      <c r="Z7" s="21">
        <f>X7</f>
        <v>120</v>
      </c>
      <c r="AA7" s="22">
        <f t="shared" si="4"/>
        <v>1.9</v>
      </c>
      <c r="AB7" s="23" t="e">
        <f>(N7+G7)*(1+#REF!)+#REF!</f>
        <v>#REF!</v>
      </c>
      <c r="AC7" s="23" t="e">
        <f t="shared" si="5"/>
        <v>#REF!</v>
      </c>
      <c r="AD7" s="10">
        <v>5495</v>
      </c>
      <c r="AE7" s="10">
        <v>0</v>
      </c>
      <c r="AF7" s="5">
        <v>0</v>
      </c>
      <c r="AG7" s="21">
        <f t="shared" si="6"/>
        <v>0</v>
      </c>
      <c r="AH7" s="11">
        <f t="shared" si="7"/>
        <v>1</v>
      </c>
      <c r="AI7" s="6">
        <f t="shared" si="8"/>
        <v>8.75912408759125</v>
      </c>
      <c r="AJ7" s="6">
        <f t="shared" si="9"/>
        <v>7.91896869244937</v>
      </c>
      <c r="AK7" s="11">
        <f t="shared" si="10"/>
        <v>0.912408759124087</v>
      </c>
      <c r="AL7" s="11">
        <f t="shared" si="11"/>
        <v>0.920810313075506</v>
      </c>
      <c r="AM7" s="10">
        <v>0</v>
      </c>
      <c r="AN7" s="24" t="e">
        <f>0.05+AM7+#REF!</f>
        <v>#REF!</v>
      </c>
      <c r="AO7" s="24" t="e">
        <f>0.5+#REF!</f>
        <v>#REF!</v>
      </c>
      <c r="AP7" s="22" t="e">
        <f t="shared" si="12"/>
        <v>#REF!</v>
      </c>
      <c r="AQ7" s="10" t="s">
        <v>39</v>
      </c>
      <c r="AR7" s="16" t="s">
        <v>807</v>
      </c>
    </row>
    <row r="8" ht="16.5" spans="1:44">
      <c r="A8" s="4" t="s">
        <v>808</v>
      </c>
      <c r="B8" s="10">
        <v>5</v>
      </c>
      <c r="C8" s="10" t="s">
        <v>809</v>
      </c>
      <c r="D8" s="10" t="s">
        <v>300</v>
      </c>
      <c r="E8" s="10" t="s">
        <v>805</v>
      </c>
      <c r="F8" s="4" t="s">
        <v>810</v>
      </c>
      <c r="G8" s="4">
        <v>500</v>
      </c>
      <c r="H8" s="10" t="s">
        <v>758</v>
      </c>
      <c r="I8" s="10" t="s">
        <v>761</v>
      </c>
      <c r="J8" s="10">
        <v>175</v>
      </c>
      <c r="K8" s="10">
        <v>96</v>
      </c>
      <c r="L8" s="10">
        <v>94</v>
      </c>
      <c r="M8" s="10">
        <v>102</v>
      </c>
      <c r="N8" s="10">
        <v>303</v>
      </c>
      <c r="O8" s="10">
        <v>0</v>
      </c>
      <c r="P8" s="10">
        <v>0</v>
      </c>
      <c r="Q8" s="10">
        <v>0</v>
      </c>
      <c r="R8" s="10">
        <v>0</v>
      </c>
      <c r="S8" s="10">
        <v>132</v>
      </c>
      <c r="T8" s="10">
        <v>0</v>
      </c>
      <c r="U8" s="21">
        <f t="shared" si="0"/>
        <v>307</v>
      </c>
      <c r="V8" s="21">
        <f t="shared" si="1"/>
        <v>96</v>
      </c>
      <c r="W8" s="21">
        <f t="shared" si="2"/>
        <v>94</v>
      </c>
      <c r="X8" s="21">
        <f t="shared" si="3"/>
        <v>102</v>
      </c>
      <c r="Y8" s="21">
        <f>U8</f>
        <v>307</v>
      </c>
      <c r="Z8" s="21">
        <f>X8</f>
        <v>102</v>
      </c>
      <c r="AA8" s="22">
        <f t="shared" si="4"/>
        <v>1.739</v>
      </c>
      <c r="AB8" s="23" t="e">
        <f>(N8+G8)*(1+#REF!)+#REF!</f>
        <v>#REF!</v>
      </c>
      <c r="AC8" s="23" t="e">
        <f t="shared" si="5"/>
        <v>#REF!</v>
      </c>
      <c r="AD8" s="10">
        <v>5495</v>
      </c>
      <c r="AE8" s="10">
        <v>0</v>
      </c>
      <c r="AF8" s="5">
        <v>0</v>
      </c>
      <c r="AG8" s="21">
        <f t="shared" si="6"/>
        <v>0</v>
      </c>
      <c r="AH8" s="11">
        <f t="shared" si="7"/>
        <v>1</v>
      </c>
      <c r="AI8" s="6">
        <f t="shared" si="8"/>
        <v>8.75912408759125</v>
      </c>
      <c r="AJ8" s="6">
        <f t="shared" si="9"/>
        <v>8.59232175502743</v>
      </c>
      <c r="AK8" s="11">
        <f t="shared" si="10"/>
        <v>0.912408759124087</v>
      </c>
      <c r="AL8" s="11">
        <f t="shared" si="11"/>
        <v>0.914076782449726</v>
      </c>
      <c r="AM8" s="10">
        <v>0</v>
      </c>
      <c r="AN8" s="24" t="e">
        <f>0.05+AM8+#REF!</f>
        <v>#REF!</v>
      </c>
      <c r="AO8" s="24" t="e">
        <f>0.5+#REF!</f>
        <v>#REF!</v>
      </c>
      <c r="AP8" s="22" t="e">
        <f t="shared" si="12"/>
        <v>#REF!</v>
      </c>
      <c r="AQ8" s="10" t="s">
        <v>39</v>
      </c>
      <c r="AR8" s="16" t="s">
        <v>811</v>
      </c>
    </row>
    <row r="9" ht="16.5" spans="1:44">
      <c r="A9" s="4" t="s">
        <v>812</v>
      </c>
      <c r="B9" s="10">
        <v>6</v>
      </c>
      <c r="C9" s="10" t="s">
        <v>809</v>
      </c>
      <c r="D9" s="10" t="s">
        <v>301</v>
      </c>
      <c r="E9" s="10" t="s">
        <v>789</v>
      </c>
      <c r="F9" s="4" t="s">
        <v>813</v>
      </c>
      <c r="G9" s="4">
        <v>510</v>
      </c>
      <c r="H9" s="10" t="s">
        <v>760</v>
      </c>
      <c r="I9" s="10" t="s">
        <v>758</v>
      </c>
      <c r="J9" s="10">
        <v>121</v>
      </c>
      <c r="K9" s="10">
        <v>99</v>
      </c>
      <c r="L9" s="10">
        <v>177</v>
      </c>
      <c r="M9" s="10">
        <v>89</v>
      </c>
      <c r="N9" s="10">
        <v>318</v>
      </c>
      <c r="O9" s="10">
        <v>0</v>
      </c>
      <c r="P9" s="10">
        <v>0</v>
      </c>
      <c r="Q9" s="10">
        <v>156</v>
      </c>
      <c r="R9" s="10">
        <v>0</v>
      </c>
      <c r="S9" s="10">
        <v>0</v>
      </c>
      <c r="T9" s="10">
        <v>0</v>
      </c>
      <c r="U9" s="21">
        <f t="shared" si="0"/>
        <v>121</v>
      </c>
      <c r="V9" s="21">
        <f t="shared" si="1"/>
        <v>99</v>
      </c>
      <c r="W9" s="21">
        <f t="shared" si="2"/>
        <v>333</v>
      </c>
      <c r="X9" s="21">
        <f t="shared" si="3"/>
        <v>89</v>
      </c>
      <c r="Y9" s="21">
        <f>W9</f>
        <v>333</v>
      </c>
      <c r="Z9" s="21">
        <f>U9</f>
        <v>121</v>
      </c>
      <c r="AA9" s="22">
        <f t="shared" si="4"/>
        <v>1.907</v>
      </c>
      <c r="AB9" s="23" t="e">
        <f>(N9+G9)*(1+#REF!)+#REF!</f>
        <v>#REF!</v>
      </c>
      <c r="AC9" s="23" t="e">
        <f t="shared" si="5"/>
        <v>#REF!</v>
      </c>
      <c r="AD9" s="10">
        <v>5495</v>
      </c>
      <c r="AE9" s="10">
        <v>0</v>
      </c>
      <c r="AF9" s="5">
        <v>0</v>
      </c>
      <c r="AG9" s="21">
        <f t="shared" si="6"/>
        <v>0</v>
      </c>
      <c r="AH9" s="11">
        <f t="shared" si="7"/>
        <v>1</v>
      </c>
      <c r="AI9" s="6">
        <f t="shared" si="8"/>
        <v>9.00818926296633</v>
      </c>
      <c r="AJ9" s="6">
        <f t="shared" si="9"/>
        <v>24.9812453113278</v>
      </c>
      <c r="AK9" s="11">
        <f t="shared" si="10"/>
        <v>0.909918107370337</v>
      </c>
      <c r="AL9" s="11">
        <f t="shared" si="11"/>
        <v>0.750187546886722</v>
      </c>
      <c r="AM9" s="10">
        <v>0</v>
      </c>
      <c r="AN9" s="24" t="e">
        <f>0.05+AM9+#REF!</f>
        <v>#REF!</v>
      </c>
      <c r="AO9" s="24" t="e">
        <f>0.5+#REF!</f>
        <v>#REF!</v>
      </c>
      <c r="AP9" s="22" t="e">
        <f t="shared" si="12"/>
        <v>#REF!</v>
      </c>
      <c r="AQ9" s="10" t="s">
        <v>39</v>
      </c>
      <c r="AR9" s="16" t="s">
        <v>814</v>
      </c>
    </row>
    <row r="10" ht="16.5" spans="1:44">
      <c r="A10" s="4" t="s">
        <v>815</v>
      </c>
      <c r="B10" s="10">
        <v>5</v>
      </c>
      <c r="C10" s="10" t="s">
        <v>816</v>
      </c>
      <c r="D10" s="10" t="s">
        <v>301</v>
      </c>
      <c r="E10" s="10" t="s">
        <v>817</v>
      </c>
      <c r="F10" s="4" t="s">
        <v>818</v>
      </c>
      <c r="G10" s="4">
        <v>490</v>
      </c>
      <c r="H10" s="10" t="s">
        <v>758</v>
      </c>
      <c r="I10" s="10" t="s">
        <v>759</v>
      </c>
      <c r="J10" s="10">
        <v>161</v>
      </c>
      <c r="K10" s="10">
        <v>95</v>
      </c>
      <c r="L10" s="10">
        <v>92</v>
      </c>
      <c r="M10" s="10">
        <v>111</v>
      </c>
      <c r="N10" s="10">
        <v>294</v>
      </c>
      <c r="O10" s="10">
        <v>0</v>
      </c>
      <c r="P10" s="10">
        <v>0</v>
      </c>
      <c r="Q10" s="10">
        <v>0</v>
      </c>
      <c r="R10" s="10">
        <v>0</v>
      </c>
      <c r="S10" s="10">
        <v>132</v>
      </c>
      <c r="T10" s="10">
        <v>0</v>
      </c>
      <c r="U10" s="21">
        <f t="shared" si="0"/>
        <v>293</v>
      </c>
      <c r="V10" s="21">
        <f t="shared" si="1"/>
        <v>95</v>
      </c>
      <c r="W10" s="21">
        <f t="shared" si="2"/>
        <v>92</v>
      </c>
      <c r="X10" s="21">
        <f t="shared" si="3"/>
        <v>111</v>
      </c>
      <c r="Y10" s="21">
        <f>U10</f>
        <v>293</v>
      </c>
      <c r="Z10" s="21">
        <f>V10</f>
        <v>95</v>
      </c>
      <c r="AA10" s="22">
        <f t="shared" si="4"/>
        <v>1.655</v>
      </c>
      <c r="AB10" s="23" t="e">
        <f>(N10+G10)*(1+#REF!)+#REF!</f>
        <v>#REF!</v>
      </c>
      <c r="AC10" s="23" t="e">
        <f t="shared" si="5"/>
        <v>#REF!</v>
      </c>
      <c r="AD10" s="10">
        <v>5495</v>
      </c>
      <c r="AE10" s="10">
        <v>0</v>
      </c>
      <c r="AF10" s="5">
        <v>0</v>
      </c>
      <c r="AG10" s="21">
        <f t="shared" si="6"/>
        <v>0</v>
      </c>
      <c r="AH10" s="11">
        <f t="shared" si="7"/>
        <v>1</v>
      </c>
      <c r="AI10" s="6">
        <f t="shared" si="8"/>
        <v>8.67579908675799</v>
      </c>
      <c r="AJ10" s="6">
        <f t="shared" si="9"/>
        <v>8.42490842490844</v>
      </c>
      <c r="AK10" s="11">
        <f t="shared" si="10"/>
        <v>0.91324200913242</v>
      </c>
      <c r="AL10" s="11">
        <f t="shared" si="11"/>
        <v>0.915750915750916</v>
      </c>
      <c r="AM10" s="10">
        <v>0</v>
      </c>
      <c r="AN10" s="24" t="e">
        <f>0.05+AM10+#REF!</f>
        <v>#REF!</v>
      </c>
      <c r="AO10" s="24" t="e">
        <f>0.5+#REF!</f>
        <v>#REF!</v>
      </c>
      <c r="AP10" s="22" t="e">
        <f t="shared" si="12"/>
        <v>#REF!</v>
      </c>
      <c r="AQ10" s="10" t="s">
        <v>39</v>
      </c>
      <c r="AR10" s="16" t="s">
        <v>819</v>
      </c>
    </row>
    <row r="11" ht="16.5" spans="1:44">
      <c r="A11" s="4" t="s">
        <v>820</v>
      </c>
      <c r="B11" s="10">
        <v>4</v>
      </c>
      <c r="C11" s="10" t="s">
        <v>796</v>
      </c>
      <c r="D11" s="10" t="s">
        <v>301</v>
      </c>
      <c r="E11" s="10" t="s">
        <v>789</v>
      </c>
      <c r="F11" s="4" t="s">
        <v>821</v>
      </c>
      <c r="G11" s="4">
        <v>490</v>
      </c>
      <c r="H11" s="10" t="s">
        <v>759</v>
      </c>
      <c r="I11" s="10" t="s">
        <v>760</v>
      </c>
      <c r="J11" s="10">
        <v>110</v>
      </c>
      <c r="K11" s="10">
        <v>140</v>
      </c>
      <c r="L11" s="10">
        <v>106</v>
      </c>
      <c r="M11" s="10">
        <v>108</v>
      </c>
      <c r="N11" s="10">
        <v>319</v>
      </c>
      <c r="O11" s="10">
        <v>0</v>
      </c>
      <c r="P11" s="10">
        <v>0</v>
      </c>
      <c r="Q11" s="10">
        <v>0</v>
      </c>
      <c r="R11" s="10">
        <v>156</v>
      </c>
      <c r="S11" s="10">
        <v>0</v>
      </c>
      <c r="T11" s="10">
        <v>0</v>
      </c>
      <c r="U11" s="21">
        <f t="shared" si="0"/>
        <v>110</v>
      </c>
      <c r="V11" s="21">
        <f t="shared" si="1"/>
        <v>140</v>
      </c>
      <c r="W11" s="21">
        <f t="shared" si="2"/>
        <v>106</v>
      </c>
      <c r="X11" s="21">
        <f t="shared" si="3"/>
        <v>264</v>
      </c>
      <c r="Y11" s="21">
        <f>V11</f>
        <v>140</v>
      </c>
      <c r="Z11" s="21">
        <f>W11</f>
        <v>106</v>
      </c>
      <c r="AA11" s="22">
        <f t="shared" si="4"/>
        <v>0.912</v>
      </c>
      <c r="AB11" s="23" t="e">
        <f>(N11+G11)*(1+#REF!)+#REF!</f>
        <v>#REF!</v>
      </c>
      <c r="AC11" s="23" t="e">
        <f t="shared" si="5"/>
        <v>#REF!</v>
      </c>
      <c r="AD11" s="10">
        <v>5495</v>
      </c>
      <c r="AE11" s="10">
        <v>0</v>
      </c>
      <c r="AF11" s="5">
        <v>0</v>
      </c>
      <c r="AG11" s="21">
        <f t="shared" si="6"/>
        <v>0</v>
      </c>
      <c r="AH11" s="11">
        <f t="shared" si="7"/>
        <v>1</v>
      </c>
      <c r="AI11" s="6">
        <f t="shared" si="8"/>
        <v>12.280701754386</v>
      </c>
      <c r="AJ11" s="6">
        <f t="shared" si="9"/>
        <v>9.58408679927668</v>
      </c>
      <c r="AK11" s="11">
        <f t="shared" si="10"/>
        <v>0.87719298245614</v>
      </c>
      <c r="AL11" s="11">
        <f t="shared" si="11"/>
        <v>0.904159132007233</v>
      </c>
      <c r="AM11" s="10">
        <v>0</v>
      </c>
      <c r="AN11" s="24" t="e">
        <f>0.05+AM11+#REF!</f>
        <v>#REF!</v>
      </c>
      <c r="AO11" s="24" t="e">
        <f>0.5+#REF!</f>
        <v>#REF!</v>
      </c>
      <c r="AP11" s="22" t="e">
        <f t="shared" si="12"/>
        <v>#REF!</v>
      </c>
      <c r="AQ11" s="10" t="s">
        <v>39</v>
      </c>
      <c r="AR11" s="16" t="s">
        <v>822</v>
      </c>
    </row>
    <row r="12" ht="16.5" spans="1:44">
      <c r="A12" s="4" t="s">
        <v>823</v>
      </c>
      <c r="B12" s="10">
        <v>6</v>
      </c>
      <c r="C12" s="10" t="s">
        <v>809</v>
      </c>
      <c r="D12" s="10" t="s">
        <v>303</v>
      </c>
      <c r="E12" s="10" t="s">
        <v>817</v>
      </c>
      <c r="F12" s="4" t="s">
        <v>824</v>
      </c>
      <c r="G12" s="4">
        <v>505</v>
      </c>
      <c r="H12" s="10" t="s">
        <v>760</v>
      </c>
      <c r="I12" s="10" t="s">
        <v>759</v>
      </c>
      <c r="J12" s="10">
        <v>82</v>
      </c>
      <c r="K12" s="10">
        <v>128</v>
      </c>
      <c r="L12" s="10">
        <v>176</v>
      </c>
      <c r="M12" s="10">
        <v>105</v>
      </c>
      <c r="N12" s="10">
        <v>321</v>
      </c>
      <c r="O12" s="10">
        <v>0</v>
      </c>
      <c r="P12" s="10">
        <v>0</v>
      </c>
      <c r="Q12" s="10">
        <v>156</v>
      </c>
      <c r="R12" s="10">
        <v>0</v>
      </c>
      <c r="S12" s="10">
        <v>0</v>
      </c>
      <c r="T12" s="10">
        <v>0</v>
      </c>
      <c r="U12" s="21">
        <f t="shared" si="0"/>
        <v>82</v>
      </c>
      <c r="V12" s="21">
        <f t="shared" si="1"/>
        <v>128</v>
      </c>
      <c r="W12" s="21">
        <f t="shared" si="2"/>
        <v>332</v>
      </c>
      <c r="X12" s="21">
        <f t="shared" si="3"/>
        <v>105</v>
      </c>
      <c r="Y12" s="21">
        <f>W12</f>
        <v>332</v>
      </c>
      <c r="Z12" s="21">
        <f>V12</f>
        <v>128</v>
      </c>
      <c r="AA12" s="22">
        <f t="shared" si="4"/>
        <v>1.916</v>
      </c>
      <c r="AB12" s="23" t="e">
        <f>(N12+G12)*(1+#REF!)+#REF!</f>
        <v>#REF!</v>
      </c>
      <c r="AC12" s="23" t="e">
        <f t="shared" si="5"/>
        <v>#REF!</v>
      </c>
      <c r="AD12" s="10">
        <v>5495</v>
      </c>
      <c r="AE12" s="10">
        <v>0</v>
      </c>
      <c r="AF12" s="5">
        <v>0</v>
      </c>
      <c r="AG12" s="21">
        <f t="shared" si="6"/>
        <v>0</v>
      </c>
      <c r="AH12" s="11">
        <f t="shared" si="7"/>
        <v>1</v>
      </c>
      <c r="AI12" s="6">
        <f t="shared" si="8"/>
        <v>11.3475177304965</v>
      </c>
      <c r="AJ12" s="6">
        <f t="shared" si="9"/>
        <v>24.9249249249249</v>
      </c>
      <c r="AK12" s="11">
        <f t="shared" si="10"/>
        <v>0.886524822695035</v>
      </c>
      <c r="AL12" s="11">
        <f t="shared" si="11"/>
        <v>0.750750750750751</v>
      </c>
      <c r="AM12" s="10">
        <v>0.195</v>
      </c>
      <c r="AN12" s="24" t="e">
        <f>0.05+AM12+#REF!</f>
        <v>#REF!</v>
      </c>
      <c r="AO12" s="24" t="e">
        <f>0.5+#REF!</f>
        <v>#REF!</v>
      </c>
      <c r="AP12" s="22" t="e">
        <f t="shared" si="12"/>
        <v>#REF!</v>
      </c>
      <c r="AQ12" s="10" t="s">
        <v>39</v>
      </c>
      <c r="AR12" s="16" t="s">
        <v>825</v>
      </c>
    </row>
    <row r="13" ht="16.5" spans="1:44">
      <c r="A13" s="4" t="s">
        <v>826</v>
      </c>
      <c r="B13" s="10">
        <v>6</v>
      </c>
      <c r="C13" s="10" t="s">
        <v>809</v>
      </c>
      <c r="D13" s="10" t="s">
        <v>303</v>
      </c>
      <c r="E13" s="10" t="s">
        <v>805</v>
      </c>
      <c r="F13" s="4" t="s">
        <v>827</v>
      </c>
      <c r="G13" s="4">
        <v>505</v>
      </c>
      <c r="H13" s="10" t="s">
        <v>758</v>
      </c>
      <c r="I13" s="10" t="s">
        <v>761</v>
      </c>
      <c r="J13" s="10">
        <v>155</v>
      </c>
      <c r="K13" s="10">
        <v>104</v>
      </c>
      <c r="L13" s="10">
        <v>93</v>
      </c>
      <c r="M13" s="10">
        <v>109</v>
      </c>
      <c r="N13" s="10">
        <v>332</v>
      </c>
      <c r="O13" s="10">
        <v>156</v>
      </c>
      <c r="P13" s="10">
        <v>0</v>
      </c>
      <c r="Q13" s="10">
        <v>0</v>
      </c>
      <c r="R13" s="10">
        <v>0</v>
      </c>
      <c r="S13" s="10">
        <v>0</v>
      </c>
      <c r="T13" s="10">
        <v>0</v>
      </c>
      <c r="U13" s="21">
        <f t="shared" si="0"/>
        <v>311</v>
      </c>
      <c r="V13" s="21">
        <f t="shared" si="1"/>
        <v>104</v>
      </c>
      <c r="W13" s="21">
        <f t="shared" si="2"/>
        <v>93</v>
      </c>
      <c r="X13" s="21">
        <f t="shared" si="3"/>
        <v>109</v>
      </c>
      <c r="Y13" s="21">
        <f>U13</f>
        <v>311</v>
      </c>
      <c r="Z13" s="21">
        <f>X13</f>
        <v>109</v>
      </c>
      <c r="AA13" s="22">
        <f t="shared" si="4"/>
        <v>1.773</v>
      </c>
      <c r="AB13" s="23" t="e">
        <f>(N13+G13)*(1+#REF!)+#REF!</f>
        <v>#REF!</v>
      </c>
      <c r="AC13" s="23" t="e">
        <f t="shared" si="5"/>
        <v>#REF!</v>
      </c>
      <c r="AD13" s="10">
        <v>5495</v>
      </c>
      <c r="AE13" s="10">
        <v>0</v>
      </c>
      <c r="AF13" s="5">
        <v>0</v>
      </c>
      <c r="AG13" s="21">
        <f t="shared" si="6"/>
        <v>0</v>
      </c>
      <c r="AH13" s="11">
        <f t="shared" si="7"/>
        <v>1</v>
      </c>
      <c r="AI13" s="6">
        <f t="shared" si="8"/>
        <v>9.42028985507247</v>
      </c>
      <c r="AJ13" s="6">
        <f t="shared" si="9"/>
        <v>8.50869167429094</v>
      </c>
      <c r="AK13" s="11">
        <f t="shared" si="10"/>
        <v>0.905797101449275</v>
      </c>
      <c r="AL13" s="11">
        <f t="shared" si="11"/>
        <v>0.914913083257091</v>
      </c>
      <c r="AM13" s="10">
        <v>0</v>
      </c>
      <c r="AN13" s="24" t="e">
        <f>0.05+AM13+#REF!</f>
        <v>#REF!</v>
      </c>
      <c r="AO13" s="24" t="e">
        <f>0.5+#REF!</f>
        <v>#REF!</v>
      </c>
      <c r="AP13" s="22" t="e">
        <f t="shared" si="12"/>
        <v>#REF!</v>
      </c>
      <c r="AQ13" s="10" t="s">
        <v>39</v>
      </c>
      <c r="AR13" s="16" t="s">
        <v>828</v>
      </c>
    </row>
    <row r="14" ht="16.5" spans="1:44">
      <c r="A14" s="4" t="s">
        <v>829</v>
      </c>
      <c r="B14" s="10">
        <v>6</v>
      </c>
      <c r="C14" s="10" t="s">
        <v>830</v>
      </c>
      <c r="D14" s="10" t="s">
        <v>304</v>
      </c>
      <c r="E14" s="10" t="s">
        <v>831</v>
      </c>
      <c r="F14" s="4" t="s">
        <v>832</v>
      </c>
      <c r="G14" s="4">
        <v>500</v>
      </c>
      <c r="H14" s="10" t="s">
        <v>761</v>
      </c>
      <c r="I14" s="10" t="s">
        <v>760</v>
      </c>
      <c r="J14" s="10">
        <v>89</v>
      </c>
      <c r="K14" s="10">
        <v>92</v>
      </c>
      <c r="L14" s="10">
        <v>127</v>
      </c>
      <c r="M14" s="10">
        <v>171</v>
      </c>
      <c r="N14" s="10">
        <v>329</v>
      </c>
      <c r="O14" s="10">
        <v>0</v>
      </c>
      <c r="P14" s="10">
        <v>0</v>
      </c>
      <c r="Q14" s="10">
        <v>0</v>
      </c>
      <c r="R14" s="10">
        <v>156</v>
      </c>
      <c r="S14" s="10">
        <v>0</v>
      </c>
      <c r="T14" s="10">
        <v>0</v>
      </c>
      <c r="U14" s="21">
        <f t="shared" si="0"/>
        <v>89</v>
      </c>
      <c r="V14" s="21">
        <f t="shared" si="1"/>
        <v>92</v>
      </c>
      <c r="W14" s="21">
        <f t="shared" si="2"/>
        <v>127</v>
      </c>
      <c r="X14" s="21">
        <f t="shared" si="3"/>
        <v>327</v>
      </c>
      <c r="Y14" s="21">
        <f>X14</f>
        <v>327</v>
      </c>
      <c r="Z14" s="21">
        <f>W14</f>
        <v>127</v>
      </c>
      <c r="AA14" s="22">
        <f t="shared" si="4"/>
        <v>1.889</v>
      </c>
      <c r="AB14" s="23" t="e">
        <f>(N14+G14)*(1+#REF!)+#REF!</f>
        <v>#REF!</v>
      </c>
      <c r="AC14" s="23" t="e">
        <f t="shared" si="5"/>
        <v>#REF!</v>
      </c>
      <c r="AD14" s="10">
        <v>5495</v>
      </c>
      <c r="AE14" s="10">
        <v>0</v>
      </c>
      <c r="AF14" s="5">
        <v>0</v>
      </c>
      <c r="AG14" s="21">
        <f t="shared" si="6"/>
        <v>0</v>
      </c>
      <c r="AH14" s="11">
        <f t="shared" si="7"/>
        <v>1</v>
      </c>
      <c r="AI14" s="6">
        <f t="shared" si="8"/>
        <v>8.42490842490844</v>
      </c>
      <c r="AJ14" s="6">
        <f t="shared" si="9"/>
        <v>11.2688553682343</v>
      </c>
      <c r="AK14" s="11">
        <f t="shared" si="10"/>
        <v>0.915750915750916</v>
      </c>
      <c r="AL14" s="11">
        <f t="shared" si="11"/>
        <v>0.887311446317657</v>
      </c>
      <c r="AM14" s="10">
        <v>0</v>
      </c>
      <c r="AN14" s="24" t="e">
        <f>0.05+AM14+#REF!</f>
        <v>#REF!</v>
      </c>
      <c r="AO14" s="24" t="e">
        <f>0.5+#REF!</f>
        <v>#REF!</v>
      </c>
      <c r="AP14" s="22" t="e">
        <f t="shared" si="12"/>
        <v>#REF!</v>
      </c>
      <c r="AQ14" s="10" t="s">
        <v>39</v>
      </c>
      <c r="AR14" s="16" t="s">
        <v>833</v>
      </c>
    </row>
    <row r="15" ht="16.5" spans="1:44">
      <c r="A15" s="4" t="s">
        <v>834</v>
      </c>
      <c r="B15" s="10">
        <v>6</v>
      </c>
      <c r="C15" s="10" t="s">
        <v>830</v>
      </c>
      <c r="D15" s="10" t="s">
        <v>304</v>
      </c>
      <c r="E15" s="10" t="s">
        <v>831</v>
      </c>
      <c r="F15" s="4" t="s">
        <v>835</v>
      </c>
      <c r="G15" s="4">
        <v>495</v>
      </c>
      <c r="H15" s="10" t="s">
        <v>760</v>
      </c>
      <c r="I15" s="10" t="s">
        <v>761</v>
      </c>
      <c r="J15" s="10">
        <v>112</v>
      </c>
      <c r="K15" s="10">
        <v>93</v>
      </c>
      <c r="L15" s="10">
        <v>145</v>
      </c>
      <c r="M15" s="10">
        <v>118</v>
      </c>
      <c r="N15" s="10">
        <v>323</v>
      </c>
      <c r="O15" s="10">
        <v>0</v>
      </c>
      <c r="P15" s="10">
        <v>0</v>
      </c>
      <c r="Q15" s="10">
        <v>156</v>
      </c>
      <c r="R15" s="10">
        <v>0</v>
      </c>
      <c r="S15" s="10">
        <v>0</v>
      </c>
      <c r="T15" s="10">
        <v>0</v>
      </c>
      <c r="U15" s="21">
        <f t="shared" si="0"/>
        <v>112</v>
      </c>
      <c r="V15" s="21">
        <f t="shared" si="1"/>
        <v>93</v>
      </c>
      <c r="W15" s="21">
        <f t="shared" si="2"/>
        <v>301</v>
      </c>
      <c r="X15" s="21">
        <f t="shared" si="3"/>
        <v>118</v>
      </c>
      <c r="Y15" s="21">
        <f>W15</f>
        <v>301</v>
      </c>
      <c r="Z15" s="21">
        <f>X15</f>
        <v>118</v>
      </c>
      <c r="AA15" s="22">
        <f t="shared" si="4"/>
        <v>1.741</v>
      </c>
      <c r="AB15" s="23" t="e">
        <f>(N15+G15)*(1+#REF!)+#REF!</f>
        <v>#REF!</v>
      </c>
      <c r="AC15" s="23" t="e">
        <f t="shared" si="5"/>
        <v>#REF!</v>
      </c>
      <c r="AD15" s="10">
        <v>5495</v>
      </c>
      <c r="AE15" s="10">
        <v>0</v>
      </c>
      <c r="AF15" s="5">
        <v>0</v>
      </c>
      <c r="AG15" s="21">
        <f t="shared" si="6"/>
        <v>0</v>
      </c>
      <c r="AH15" s="11">
        <f t="shared" si="7"/>
        <v>1</v>
      </c>
      <c r="AI15" s="6">
        <f t="shared" si="8"/>
        <v>8.50869167429094</v>
      </c>
      <c r="AJ15" s="6">
        <f t="shared" si="9"/>
        <v>23.1360491929285</v>
      </c>
      <c r="AK15" s="11">
        <f t="shared" si="10"/>
        <v>0.914913083257091</v>
      </c>
      <c r="AL15" s="11">
        <f t="shared" si="11"/>
        <v>0.768639508070715</v>
      </c>
      <c r="AM15" s="10">
        <v>0</v>
      </c>
      <c r="AN15" s="24" t="e">
        <f>0.05+AM15+#REF!</f>
        <v>#REF!</v>
      </c>
      <c r="AO15" s="24" t="e">
        <f>0.5+#REF!</f>
        <v>#REF!</v>
      </c>
      <c r="AP15" s="22" t="e">
        <f t="shared" si="12"/>
        <v>#REF!</v>
      </c>
      <c r="AQ15" s="10" t="s">
        <v>39</v>
      </c>
      <c r="AR15" s="16" t="s">
        <v>836</v>
      </c>
    </row>
    <row r="16" ht="16.5" spans="1:44">
      <c r="A16" s="4" t="s">
        <v>837</v>
      </c>
      <c r="B16" s="10">
        <v>6</v>
      </c>
      <c r="C16" s="10" t="s">
        <v>809</v>
      </c>
      <c r="D16" s="10" t="s">
        <v>304</v>
      </c>
      <c r="E16" s="10" t="s">
        <v>831</v>
      </c>
      <c r="F16" s="4" t="s">
        <v>838</v>
      </c>
      <c r="G16" s="4">
        <v>510</v>
      </c>
      <c r="H16" s="10" t="s">
        <v>761</v>
      </c>
      <c r="I16" s="10" t="s">
        <v>760</v>
      </c>
      <c r="J16" s="10">
        <v>99</v>
      </c>
      <c r="K16" s="10">
        <v>99</v>
      </c>
      <c r="L16" s="10">
        <v>123</v>
      </c>
      <c r="M16" s="10">
        <v>184</v>
      </c>
      <c r="N16" s="10">
        <v>326</v>
      </c>
      <c r="O16" s="10">
        <v>0</v>
      </c>
      <c r="P16" s="10">
        <v>0</v>
      </c>
      <c r="Q16" s="10">
        <v>0</v>
      </c>
      <c r="R16" s="10">
        <v>156</v>
      </c>
      <c r="S16" s="10">
        <v>0</v>
      </c>
      <c r="T16" s="10">
        <v>0</v>
      </c>
      <c r="U16" s="21">
        <f t="shared" si="0"/>
        <v>99</v>
      </c>
      <c r="V16" s="21">
        <f t="shared" si="1"/>
        <v>99</v>
      </c>
      <c r="W16" s="21">
        <f t="shared" si="2"/>
        <v>123</v>
      </c>
      <c r="X16" s="21">
        <f t="shared" si="3"/>
        <v>340</v>
      </c>
      <c r="Y16" s="21">
        <f>X16</f>
        <v>340</v>
      </c>
      <c r="Z16" s="21">
        <f>W16</f>
        <v>123</v>
      </c>
      <c r="AA16" s="22">
        <f t="shared" si="4"/>
        <v>1.946</v>
      </c>
      <c r="AB16" s="23" t="e">
        <f>(N16+G16)*(1+#REF!)+#REF!</f>
        <v>#REF!</v>
      </c>
      <c r="AC16" s="23" t="e">
        <f t="shared" si="5"/>
        <v>#REF!</v>
      </c>
      <c r="AD16" s="10">
        <v>5495</v>
      </c>
      <c r="AE16" s="10">
        <v>0</v>
      </c>
      <c r="AF16" s="5">
        <v>0</v>
      </c>
      <c r="AG16" s="21">
        <f t="shared" si="6"/>
        <v>0</v>
      </c>
      <c r="AH16" s="11">
        <f t="shared" si="7"/>
        <v>1</v>
      </c>
      <c r="AI16" s="6">
        <f t="shared" si="8"/>
        <v>9.00818926296633</v>
      </c>
      <c r="AJ16" s="6">
        <f t="shared" si="9"/>
        <v>10.9528049866429</v>
      </c>
      <c r="AK16" s="11">
        <f t="shared" si="10"/>
        <v>0.909918107370337</v>
      </c>
      <c r="AL16" s="11">
        <f t="shared" si="11"/>
        <v>0.890471950133571</v>
      </c>
      <c r="AM16" s="10">
        <v>0</v>
      </c>
      <c r="AN16" s="24" t="e">
        <f>0.05+AM16+#REF!</f>
        <v>#REF!</v>
      </c>
      <c r="AO16" s="24" t="e">
        <f>0.5+#REF!</f>
        <v>#REF!</v>
      </c>
      <c r="AP16" s="22" t="e">
        <f t="shared" si="12"/>
        <v>#REF!</v>
      </c>
      <c r="AQ16" s="10" t="s">
        <v>39</v>
      </c>
      <c r="AR16" s="16" t="s">
        <v>839</v>
      </c>
    </row>
    <row r="17" ht="16.5" spans="1:44">
      <c r="A17" s="4" t="s">
        <v>840</v>
      </c>
      <c r="B17" s="10">
        <v>5</v>
      </c>
      <c r="C17" s="10" t="s">
        <v>816</v>
      </c>
      <c r="D17" s="10" t="s">
        <v>302</v>
      </c>
      <c r="E17" s="10" t="s">
        <v>831</v>
      </c>
      <c r="F17" s="4" t="s">
        <v>841</v>
      </c>
      <c r="G17" s="4">
        <v>495</v>
      </c>
      <c r="H17" s="10" t="s">
        <v>760</v>
      </c>
      <c r="I17" s="10" t="s">
        <v>761</v>
      </c>
      <c r="J17" s="10">
        <v>91</v>
      </c>
      <c r="K17" s="10">
        <v>93</v>
      </c>
      <c r="L17" s="10">
        <v>161</v>
      </c>
      <c r="M17" s="10">
        <v>113</v>
      </c>
      <c r="N17" s="10">
        <v>303</v>
      </c>
      <c r="O17" s="10">
        <v>0</v>
      </c>
      <c r="P17" s="10">
        <v>0</v>
      </c>
      <c r="Q17" s="10">
        <v>156</v>
      </c>
      <c r="R17" s="10">
        <v>0</v>
      </c>
      <c r="S17" s="10">
        <v>0</v>
      </c>
      <c r="T17" s="10">
        <v>0</v>
      </c>
      <c r="U17" s="21">
        <f t="shared" si="0"/>
        <v>91</v>
      </c>
      <c r="V17" s="21">
        <f t="shared" si="1"/>
        <v>93</v>
      </c>
      <c r="W17" s="21">
        <f t="shared" si="2"/>
        <v>317</v>
      </c>
      <c r="X17" s="21">
        <f t="shared" si="3"/>
        <v>113</v>
      </c>
      <c r="Y17" s="21">
        <f>W17</f>
        <v>317</v>
      </c>
      <c r="Z17" s="21">
        <f>X17</f>
        <v>113</v>
      </c>
      <c r="AA17" s="22">
        <f t="shared" si="4"/>
        <v>1.811</v>
      </c>
      <c r="AB17" s="23" t="e">
        <f>(N17+G17)*(1+#REF!)+#REF!</f>
        <v>#REF!</v>
      </c>
      <c r="AC17" s="23" t="e">
        <f t="shared" si="5"/>
        <v>#REF!</v>
      </c>
      <c r="AD17" s="10">
        <v>5495</v>
      </c>
      <c r="AE17" s="10">
        <v>0</v>
      </c>
      <c r="AF17" s="5">
        <v>0</v>
      </c>
      <c r="AG17" s="21">
        <f t="shared" si="6"/>
        <v>0</v>
      </c>
      <c r="AH17" s="11">
        <f t="shared" si="7"/>
        <v>1</v>
      </c>
      <c r="AI17" s="6">
        <f t="shared" si="8"/>
        <v>8.50869167429094</v>
      </c>
      <c r="AJ17" s="6">
        <f t="shared" si="9"/>
        <v>24.0698557327259</v>
      </c>
      <c r="AK17" s="11">
        <f t="shared" si="10"/>
        <v>0.914913083257091</v>
      </c>
      <c r="AL17" s="11">
        <f t="shared" si="11"/>
        <v>0.759301442672741</v>
      </c>
      <c r="AM17" s="10">
        <v>0</v>
      </c>
      <c r="AN17" s="24" t="e">
        <f>0.05+AM17+#REF!</f>
        <v>#REF!</v>
      </c>
      <c r="AO17" s="24" t="e">
        <f>0.5+#REF!</f>
        <v>#REF!</v>
      </c>
      <c r="AP17" s="22" t="e">
        <f t="shared" si="12"/>
        <v>#REF!</v>
      </c>
      <c r="AQ17" s="10" t="s">
        <v>39</v>
      </c>
      <c r="AR17" s="16" t="s">
        <v>842</v>
      </c>
    </row>
    <row r="18" ht="16.5" spans="1:44">
      <c r="A18" s="4" t="s">
        <v>843</v>
      </c>
      <c r="B18" s="10">
        <v>5</v>
      </c>
      <c r="C18" s="10" t="s">
        <v>816</v>
      </c>
      <c r="D18" s="10" t="s">
        <v>302</v>
      </c>
      <c r="E18" s="10" t="s">
        <v>789</v>
      </c>
      <c r="F18" s="4" t="s">
        <v>821</v>
      </c>
      <c r="G18" s="4">
        <v>490</v>
      </c>
      <c r="H18" s="10" t="s">
        <v>759</v>
      </c>
      <c r="I18" s="10" t="s">
        <v>760</v>
      </c>
      <c r="J18" s="10">
        <v>107</v>
      </c>
      <c r="K18" s="10">
        <v>145</v>
      </c>
      <c r="L18" s="10">
        <v>123</v>
      </c>
      <c r="M18" s="10">
        <v>100</v>
      </c>
      <c r="N18" s="10">
        <v>306</v>
      </c>
      <c r="O18" s="10">
        <v>0</v>
      </c>
      <c r="P18" s="10">
        <v>0</v>
      </c>
      <c r="Q18" s="10">
        <v>0</v>
      </c>
      <c r="R18" s="10">
        <v>156</v>
      </c>
      <c r="S18" s="10">
        <v>0</v>
      </c>
      <c r="T18" s="10">
        <v>0</v>
      </c>
      <c r="U18" s="21">
        <f t="shared" si="0"/>
        <v>107</v>
      </c>
      <c r="V18" s="21">
        <f t="shared" si="1"/>
        <v>145</v>
      </c>
      <c r="W18" s="21">
        <f t="shared" si="2"/>
        <v>123</v>
      </c>
      <c r="X18" s="21">
        <f t="shared" si="3"/>
        <v>256</v>
      </c>
      <c r="Y18" s="21">
        <f>V18</f>
        <v>145</v>
      </c>
      <c r="Z18" s="21">
        <f>W18</f>
        <v>123</v>
      </c>
      <c r="AA18" s="22">
        <f t="shared" si="4"/>
        <v>0.971</v>
      </c>
      <c r="AB18" s="23" t="e">
        <f>(N18+G18)*(1+#REF!)+#REF!</f>
        <v>#REF!</v>
      </c>
      <c r="AC18" s="23" t="e">
        <f t="shared" si="5"/>
        <v>#REF!</v>
      </c>
      <c r="AD18" s="10">
        <v>5495</v>
      </c>
      <c r="AE18" s="10">
        <v>0</v>
      </c>
      <c r="AF18" s="5">
        <v>0</v>
      </c>
      <c r="AG18" s="21">
        <f t="shared" si="6"/>
        <v>0</v>
      </c>
      <c r="AH18" s="11">
        <f t="shared" si="7"/>
        <v>1</v>
      </c>
      <c r="AI18" s="6">
        <f t="shared" si="8"/>
        <v>12.6637554585153</v>
      </c>
      <c r="AJ18" s="6">
        <f t="shared" si="9"/>
        <v>10.9528049866429</v>
      </c>
      <c r="AK18" s="11">
        <f t="shared" si="10"/>
        <v>0.873362445414847</v>
      </c>
      <c r="AL18" s="11">
        <f t="shared" si="11"/>
        <v>0.890471950133571</v>
      </c>
      <c r="AM18" s="10">
        <v>0</v>
      </c>
      <c r="AN18" s="24" t="e">
        <f>0.05+AM18+#REF!</f>
        <v>#REF!</v>
      </c>
      <c r="AO18" s="24" t="e">
        <f>0.5+#REF!</f>
        <v>#REF!</v>
      </c>
      <c r="AP18" s="22" t="e">
        <f t="shared" si="12"/>
        <v>#REF!</v>
      </c>
      <c r="AQ18" s="10" t="s">
        <v>39</v>
      </c>
      <c r="AR18" s="16" t="s">
        <v>844</v>
      </c>
    </row>
    <row r="19" ht="16.5" spans="1:44">
      <c r="A19" s="4" t="s">
        <v>845</v>
      </c>
      <c r="B19" s="10">
        <v>5</v>
      </c>
      <c r="C19" s="10" t="s">
        <v>796</v>
      </c>
      <c r="D19" s="10" t="s">
        <v>303</v>
      </c>
      <c r="E19" s="10" t="s">
        <v>789</v>
      </c>
      <c r="F19" s="4" t="s">
        <v>821</v>
      </c>
      <c r="G19" s="4">
        <v>490</v>
      </c>
      <c r="H19" s="10" t="s">
        <v>758</v>
      </c>
      <c r="I19" s="10" t="s">
        <v>760</v>
      </c>
      <c r="J19" s="10">
        <v>158</v>
      </c>
      <c r="K19" s="10">
        <v>95</v>
      </c>
      <c r="L19" s="10">
        <v>125</v>
      </c>
      <c r="M19" s="10">
        <v>89</v>
      </c>
      <c r="N19" s="10">
        <v>309</v>
      </c>
      <c r="O19" s="10">
        <v>0</v>
      </c>
      <c r="P19" s="10">
        <v>0</v>
      </c>
      <c r="Q19" s="10">
        <v>0</v>
      </c>
      <c r="R19" s="10">
        <v>156</v>
      </c>
      <c r="S19" s="10">
        <v>0</v>
      </c>
      <c r="T19" s="10">
        <v>0</v>
      </c>
      <c r="U19" s="21">
        <f t="shared" si="0"/>
        <v>158</v>
      </c>
      <c r="V19" s="21">
        <f t="shared" si="1"/>
        <v>95</v>
      </c>
      <c r="W19" s="21">
        <f t="shared" si="2"/>
        <v>125</v>
      </c>
      <c r="X19" s="21">
        <f t="shared" si="3"/>
        <v>245</v>
      </c>
      <c r="Y19" s="21">
        <f>U19</f>
        <v>158</v>
      </c>
      <c r="Z19" s="21">
        <f>W19</f>
        <v>125</v>
      </c>
      <c r="AA19" s="22">
        <f t="shared" si="4"/>
        <v>1.04</v>
      </c>
      <c r="AB19" s="23" t="e">
        <f>(N19+G19)*(1+#REF!)+#REF!</f>
        <v>#REF!</v>
      </c>
      <c r="AC19" s="23" t="e">
        <f t="shared" si="5"/>
        <v>#REF!</v>
      </c>
      <c r="AD19" s="10">
        <v>5495</v>
      </c>
      <c r="AE19" s="10">
        <v>0</v>
      </c>
      <c r="AF19" s="5">
        <v>0</v>
      </c>
      <c r="AG19" s="21">
        <f t="shared" si="6"/>
        <v>0</v>
      </c>
      <c r="AH19" s="11">
        <f t="shared" si="7"/>
        <v>1</v>
      </c>
      <c r="AI19" s="6">
        <f t="shared" si="8"/>
        <v>8.67579908675799</v>
      </c>
      <c r="AJ19" s="6">
        <f t="shared" si="9"/>
        <v>11.1111111111111</v>
      </c>
      <c r="AK19" s="11">
        <f t="shared" si="10"/>
        <v>0.91324200913242</v>
      </c>
      <c r="AL19" s="11">
        <f t="shared" si="11"/>
        <v>0.888888888888889</v>
      </c>
      <c r="AM19" s="10">
        <v>0</v>
      </c>
      <c r="AN19" s="24" t="e">
        <f>0.05+AM19+#REF!</f>
        <v>#REF!</v>
      </c>
      <c r="AO19" s="24" t="e">
        <f>0.5+#REF!</f>
        <v>#REF!</v>
      </c>
      <c r="AP19" s="22" t="e">
        <f t="shared" si="12"/>
        <v>#REF!</v>
      </c>
      <c r="AQ19" s="10" t="s">
        <v>39</v>
      </c>
      <c r="AR19" s="16" t="s">
        <v>846</v>
      </c>
    </row>
    <row r="20" ht="16.5" spans="1:44">
      <c r="A20" s="4" t="s">
        <v>847</v>
      </c>
      <c r="B20" s="10">
        <v>5</v>
      </c>
      <c r="C20" s="10" t="s">
        <v>809</v>
      </c>
      <c r="D20" s="10" t="s">
        <v>300</v>
      </c>
      <c r="E20" s="10" t="s">
        <v>800</v>
      </c>
      <c r="F20" s="4" t="s">
        <v>848</v>
      </c>
      <c r="G20" s="4">
        <v>500</v>
      </c>
      <c r="H20" s="10" t="s">
        <v>761</v>
      </c>
      <c r="I20" s="10" t="s">
        <v>759</v>
      </c>
      <c r="J20" s="10">
        <v>107</v>
      </c>
      <c r="K20" s="10">
        <v>106</v>
      </c>
      <c r="L20" s="10">
        <v>110</v>
      </c>
      <c r="M20" s="10">
        <v>148</v>
      </c>
      <c r="N20" s="10">
        <v>312</v>
      </c>
      <c r="O20" s="10">
        <v>0</v>
      </c>
      <c r="P20" s="10">
        <v>0</v>
      </c>
      <c r="Q20" s="10">
        <v>0</v>
      </c>
      <c r="R20" s="10">
        <v>0</v>
      </c>
      <c r="S20" s="10">
        <v>132</v>
      </c>
      <c r="T20" s="10">
        <v>0</v>
      </c>
      <c r="U20" s="21">
        <f t="shared" si="0"/>
        <v>107</v>
      </c>
      <c r="V20" s="21">
        <f t="shared" si="1"/>
        <v>106</v>
      </c>
      <c r="W20" s="21">
        <f t="shared" si="2"/>
        <v>110</v>
      </c>
      <c r="X20" s="21">
        <f t="shared" si="3"/>
        <v>280</v>
      </c>
      <c r="Y20" s="21">
        <f>X20</f>
        <v>280</v>
      </c>
      <c r="Z20" s="21">
        <f>V20</f>
        <v>106</v>
      </c>
      <c r="AA20" s="22">
        <f t="shared" si="4"/>
        <v>1.612</v>
      </c>
      <c r="AB20" s="23" t="e">
        <f>(N20+G20)*(1+#REF!)+#REF!</f>
        <v>#REF!</v>
      </c>
      <c r="AC20" s="23" t="e">
        <f t="shared" si="5"/>
        <v>#REF!</v>
      </c>
      <c r="AD20" s="10">
        <v>5495</v>
      </c>
      <c r="AE20" s="10">
        <v>0</v>
      </c>
      <c r="AF20" s="5">
        <v>0</v>
      </c>
      <c r="AG20" s="21">
        <f t="shared" si="6"/>
        <v>0</v>
      </c>
      <c r="AH20" s="11">
        <f t="shared" si="7"/>
        <v>1</v>
      </c>
      <c r="AI20" s="6">
        <f t="shared" si="8"/>
        <v>9.58408679927668</v>
      </c>
      <c r="AJ20" s="6">
        <f t="shared" si="9"/>
        <v>9.90990990990991</v>
      </c>
      <c r="AK20" s="11">
        <f t="shared" si="10"/>
        <v>0.904159132007233</v>
      </c>
      <c r="AL20" s="11">
        <f t="shared" si="11"/>
        <v>0.900900900900901</v>
      </c>
      <c r="AM20" s="10">
        <v>0</v>
      </c>
      <c r="AN20" s="24" t="e">
        <f>0.05+AM20+#REF!</f>
        <v>#REF!</v>
      </c>
      <c r="AO20" s="24" t="e">
        <f>0.5+#REF!</f>
        <v>#REF!</v>
      </c>
      <c r="AP20" s="22" t="e">
        <f t="shared" si="12"/>
        <v>#REF!</v>
      </c>
      <c r="AQ20" s="10" t="s">
        <v>39</v>
      </c>
      <c r="AR20" s="16" t="s">
        <v>849</v>
      </c>
    </row>
    <row r="21" ht="16.5" spans="1:44">
      <c r="A21" s="4" t="s">
        <v>850</v>
      </c>
      <c r="B21" s="10">
        <v>5</v>
      </c>
      <c r="C21" s="10" t="s">
        <v>804</v>
      </c>
      <c r="D21" s="10" t="s">
        <v>303</v>
      </c>
      <c r="E21" s="10" t="s">
        <v>805</v>
      </c>
      <c r="F21" s="4" t="s">
        <v>851</v>
      </c>
      <c r="G21" s="4">
        <v>495</v>
      </c>
      <c r="H21" s="10" t="s">
        <v>758</v>
      </c>
      <c r="I21" s="10" t="s">
        <v>761</v>
      </c>
      <c r="J21" s="10">
        <v>154</v>
      </c>
      <c r="K21" s="10">
        <v>104</v>
      </c>
      <c r="L21" s="10">
        <v>93</v>
      </c>
      <c r="M21" s="10">
        <v>108</v>
      </c>
      <c r="N21" s="10">
        <v>297</v>
      </c>
      <c r="O21" s="10">
        <v>0</v>
      </c>
      <c r="P21" s="10">
        <v>0</v>
      </c>
      <c r="Q21" s="10">
        <v>0</v>
      </c>
      <c r="R21" s="10">
        <v>156</v>
      </c>
      <c r="S21" s="10">
        <v>0</v>
      </c>
      <c r="T21" s="10">
        <v>0</v>
      </c>
      <c r="U21" s="21">
        <f t="shared" si="0"/>
        <v>154</v>
      </c>
      <c r="V21" s="21">
        <f t="shared" si="1"/>
        <v>104</v>
      </c>
      <c r="W21" s="21">
        <f t="shared" si="2"/>
        <v>93</v>
      </c>
      <c r="X21" s="21">
        <f t="shared" si="3"/>
        <v>264</v>
      </c>
      <c r="Y21" s="21">
        <f>U21</f>
        <v>154</v>
      </c>
      <c r="Z21" s="21">
        <f>X21</f>
        <v>264</v>
      </c>
      <c r="AA21" s="22">
        <f t="shared" si="4"/>
        <v>1.298</v>
      </c>
      <c r="AB21" s="23" t="e">
        <f>(N21+G21)*(1+#REF!)+#REF!</f>
        <v>#REF!</v>
      </c>
      <c r="AC21" s="23" t="e">
        <f t="shared" si="5"/>
        <v>#REF!</v>
      </c>
      <c r="AD21" s="10">
        <v>5495</v>
      </c>
      <c r="AE21" s="10">
        <v>0</v>
      </c>
      <c r="AF21" s="5">
        <v>0</v>
      </c>
      <c r="AG21" s="21">
        <f t="shared" si="6"/>
        <v>0</v>
      </c>
      <c r="AH21" s="11">
        <f t="shared" si="7"/>
        <v>1</v>
      </c>
      <c r="AI21" s="6">
        <f t="shared" si="8"/>
        <v>9.42028985507247</v>
      </c>
      <c r="AJ21" s="6">
        <f t="shared" si="9"/>
        <v>8.50869167429094</v>
      </c>
      <c r="AK21" s="11">
        <f t="shared" si="10"/>
        <v>0.905797101449275</v>
      </c>
      <c r="AL21" s="11">
        <f t="shared" si="11"/>
        <v>0.914913083257091</v>
      </c>
      <c r="AM21" s="10">
        <v>0</v>
      </c>
      <c r="AN21" s="24" t="e">
        <f>0.05+AM21+#REF!</f>
        <v>#REF!</v>
      </c>
      <c r="AO21" s="24" t="e">
        <f>0.5+#REF!</f>
        <v>#REF!</v>
      </c>
      <c r="AP21" s="22" t="e">
        <f t="shared" si="12"/>
        <v>#REF!</v>
      </c>
      <c r="AQ21" s="10" t="s">
        <v>39</v>
      </c>
      <c r="AR21" s="16" t="s">
        <v>852</v>
      </c>
    </row>
    <row r="22" ht="16.5" spans="1:44">
      <c r="A22" s="4" t="s">
        <v>853</v>
      </c>
      <c r="B22" s="10">
        <v>5</v>
      </c>
      <c r="C22" s="10" t="s">
        <v>830</v>
      </c>
      <c r="D22" s="10" t="s">
        <v>304</v>
      </c>
      <c r="E22" s="10" t="s">
        <v>831</v>
      </c>
      <c r="F22" s="4" t="s">
        <v>854</v>
      </c>
      <c r="G22" s="4">
        <v>485</v>
      </c>
      <c r="H22" s="10" t="s">
        <v>761</v>
      </c>
      <c r="I22" s="10" t="s">
        <v>760</v>
      </c>
      <c r="J22" s="10">
        <v>89</v>
      </c>
      <c r="K22" s="10">
        <v>91</v>
      </c>
      <c r="L22" s="10">
        <v>127</v>
      </c>
      <c r="M22" s="10">
        <v>150</v>
      </c>
      <c r="N22" s="10">
        <v>291</v>
      </c>
      <c r="O22" s="10">
        <v>0</v>
      </c>
      <c r="P22" s="10">
        <v>0</v>
      </c>
      <c r="Q22" s="10">
        <v>0</v>
      </c>
      <c r="R22" s="10">
        <v>156</v>
      </c>
      <c r="S22" s="10">
        <v>0</v>
      </c>
      <c r="T22" s="10">
        <v>0</v>
      </c>
      <c r="U22" s="21">
        <f t="shared" si="0"/>
        <v>89</v>
      </c>
      <c r="V22" s="21">
        <f t="shared" si="1"/>
        <v>91</v>
      </c>
      <c r="W22" s="21">
        <f t="shared" si="2"/>
        <v>127</v>
      </c>
      <c r="X22" s="21">
        <f t="shared" si="3"/>
        <v>306</v>
      </c>
      <c r="Y22" s="21">
        <f>X22</f>
        <v>306</v>
      </c>
      <c r="Z22" s="21">
        <f>W22</f>
        <v>127</v>
      </c>
      <c r="AA22" s="22">
        <f t="shared" si="4"/>
        <v>1.784</v>
      </c>
      <c r="AB22" s="23" t="e">
        <f>(N22+G22)*(1+#REF!)+#REF!</f>
        <v>#REF!</v>
      </c>
      <c r="AC22" s="23" t="e">
        <f t="shared" si="5"/>
        <v>#REF!</v>
      </c>
      <c r="AD22" s="10">
        <v>5495</v>
      </c>
      <c r="AE22" s="10">
        <v>0</v>
      </c>
      <c r="AF22" s="5">
        <v>0</v>
      </c>
      <c r="AG22" s="21">
        <f t="shared" si="6"/>
        <v>0</v>
      </c>
      <c r="AH22" s="11">
        <f t="shared" si="7"/>
        <v>1</v>
      </c>
      <c r="AI22" s="6">
        <f t="shared" si="8"/>
        <v>8.34097158570118</v>
      </c>
      <c r="AJ22" s="6">
        <f t="shared" si="9"/>
        <v>11.2688553682343</v>
      </c>
      <c r="AK22" s="11">
        <f t="shared" si="10"/>
        <v>0.916590284142988</v>
      </c>
      <c r="AL22" s="11">
        <f t="shared" si="11"/>
        <v>0.887311446317657</v>
      </c>
      <c r="AM22" s="10">
        <v>0</v>
      </c>
      <c r="AN22" s="24" t="e">
        <f>0.05+AM22+#REF!</f>
        <v>#REF!</v>
      </c>
      <c r="AO22" s="24" t="e">
        <f>0.5+#REF!</f>
        <v>#REF!</v>
      </c>
      <c r="AP22" s="22" t="e">
        <f t="shared" si="12"/>
        <v>#REF!</v>
      </c>
      <c r="AQ22" s="10" t="s">
        <v>39</v>
      </c>
      <c r="AR22" s="16" t="s">
        <v>855</v>
      </c>
    </row>
    <row r="23" ht="16.5" spans="1:44">
      <c r="A23" s="4" t="s">
        <v>856</v>
      </c>
      <c r="B23" s="10">
        <v>4</v>
      </c>
      <c r="C23" s="10" t="s">
        <v>830</v>
      </c>
      <c r="D23" s="10" t="s">
        <v>304</v>
      </c>
      <c r="E23" s="10" t="s">
        <v>831</v>
      </c>
      <c r="F23" s="4" t="s">
        <v>857</v>
      </c>
      <c r="G23" s="4">
        <v>490</v>
      </c>
      <c r="H23" s="10" t="s">
        <v>760</v>
      </c>
      <c r="I23" s="10" t="s">
        <v>758</v>
      </c>
      <c r="J23" s="10">
        <v>129</v>
      </c>
      <c r="K23" s="10">
        <v>86</v>
      </c>
      <c r="L23" s="10">
        <v>165</v>
      </c>
      <c r="M23" s="10">
        <v>82</v>
      </c>
      <c r="N23" s="10">
        <v>297</v>
      </c>
      <c r="O23" s="10">
        <v>0</v>
      </c>
      <c r="P23" s="10">
        <v>0</v>
      </c>
      <c r="Q23" s="10">
        <v>0</v>
      </c>
      <c r="R23" s="10">
        <v>0</v>
      </c>
      <c r="S23" s="10">
        <v>132</v>
      </c>
      <c r="T23" s="10">
        <v>0</v>
      </c>
      <c r="U23" s="21">
        <f t="shared" si="0"/>
        <v>129</v>
      </c>
      <c r="V23" s="21">
        <f t="shared" si="1"/>
        <v>86</v>
      </c>
      <c r="W23" s="21">
        <f t="shared" si="2"/>
        <v>297</v>
      </c>
      <c r="X23" s="21">
        <f t="shared" si="3"/>
        <v>82</v>
      </c>
      <c r="Y23" s="21">
        <f>W23</f>
        <v>297</v>
      </c>
      <c r="Z23" s="21">
        <f>U23</f>
        <v>129</v>
      </c>
      <c r="AA23" s="22">
        <f t="shared" si="4"/>
        <v>1.743</v>
      </c>
      <c r="AB23" s="23" t="e">
        <f>(N23+G23)*(1+#REF!)+#REF!</f>
        <v>#REF!</v>
      </c>
      <c r="AC23" s="23" t="e">
        <f t="shared" si="5"/>
        <v>#REF!</v>
      </c>
      <c r="AD23" s="10">
        <v>5495</v>
      </c>
      <c r="AE23" s="10">
        <v>0</v>
      </c>
      <c r="AF23" s="5">
        <v>0</v>
      </c>
      <c r="AG23" s="21">
        <f t="shared" si="6"/>
        <v>0</v>
      </c>
      <c r="AH23" s="11">
        <f t="shared" si="7"/>
        <v>1</v>
      </c>
      <c r="AI23" s="6">
        <f t="shared" si="8"/>
        <v>7.91896869244937</v>
      </c>
      <c r="AJ23" s="6">
        <f t="shared" si="9"/>
        <v>22.8989976869699</v>
      </c>
      <c r="AK23" s="11">
        <f t="shared" si="10"/>
        <v>0.920810313075506</v>
      </c>
      <c r="AL23" s="11">
        <f t="shared" si="11"/>
        <v>0.771010023130301</v>
      </c>
      <c r="AM23" s="10">
        <v>0</v>
      </c>
      <c r="AN23" s="24" t="e">
        <f>0.05+AM23+#REF!</f>
        <v>#REF!</v>
      </c>
      <c r="AO23" s="24" t="e">
        <f>0.5+#REF!</f>
        <v>#REF!</v>
      </c>
      <c r="AP23" s="22" t="e">
        <f t="shared" si="12"/>
        <v>#REF!</v>
      </c>
      <c r="AQ23" s="10" t="s">
        <v>39</v>
      </c>
      <c r="AR23" s="16" t="s">
        <v>833</v>
      </c>
    </row>
    <row r="24" ht="16.5" spans="1:44">
      <c r="A24" s="4" t="s">
        <v>858</v>
      </c>
      <c r="B24" s="10">
        <v>4</v>
      </c>
      <c r="C24" s="10" t="s">
        <v>788</v>
      </c>
      <c r="D24" s="10" t="s">
        <v>304</v>
      </c>
      <c r="E24" s="10" t="s">
        <v>800</v>
      </c>
      <c r="F24" s="4" t="s">
        <v>859</v>
      </c>
      <c r="G24" s="4">
        <v>500</v>
      </c>
      <c r="H24" s="10" t="s">
        <v>761</v>
      </c>
      <c r="I24" s="10" t="s">
        <v>758</v>
      </c>
      <c r="J24" s="10">
        <v>104</v>
      </c>
      <c r="K24" s="10">
        <v>97</v>
      </c>
      <c r="L24" s="10">
        <v>110</v>
      </c>
      <c r="M24" s="10">
        <v>151</v>
      </c>
      <c r="N24" s="10">
        <v>312</v>
      </c>
      <c r="O24" s="10">
        <v>0</v>
      </c>
      <c r="P24" s="10">
        <v>0</v>
      </c>
      <c r="Q24" s="10">
        <v>0</v>
      </c>
      <c r="R24" s="10">
        <v>0</v>
      </c>
      <c r="S24" s="10">
        <v>132</v>
      </c>
      <c r="T24" s="10">
        <v>0</v>
      </c>
      <c r="U24" s="21">
        <f t="shared" si="0"/>
        <v>104</v>
      </c>
      <c r="V24" s="21">
        <f t="shared" si="1"/>
        <v>97</v>
      </c>
      <c r="W24" s="21">
        <f t="shared" si="2"/>
        <v>110</v>
      </c>
      <c r="X24" s="21">
        <f t="shared" si="3"/>
        <v>283</v>
      </c>
      <c r="Y24" s="21">
        <f>X24</f>
        <v>283</v>
      </c>
      <c r="Z24" s="21">
        <f>U24</f>
        <v>104</v>
      </c>
      <c r="AA24" s="22">
        <f t="shared" si="4"/>
        <v>1.623</v>
      </c>
      <c r="AB24" s="23" t="e">
        <f>(N24+G24)*(1+#REF!)+#REF!</f>
        <v>#REF!</v>
      </c>
      <c r="AC24" s="23" t="e">
        <f t="shared" si="5"/>
        <v>#REF!</v>
      </c>
      <c r="AD24" s="10">
        <v>5495</v>
      </c>
      <c r="AE24" s="10">
        <v>0</v>
      </c>
      <c r="AF24" s="5">
        <v>0</v>
      </c>
      <c r="AG24" s="21">
        <f t="shared" si="6"/>
        <v>0</v>
      </c>
      <c r="AH24" s="11">
        <f t="shared" si="7"/>
        <v>1</v>
      </c>
      <c r="AI24" s="6">
        <f t="shared" si="8"/>
        <v>8.84229717411121</v>
      </c>
      <c r="AJ24" s="6">
        <f t="shared" si="9"/>
        <v>9.90990990990991</v>
      </c>
      <c r="AK24" s="11">
        <f t="shared" si="10"/>
        <v>0.911577028258888</v>
      </c>
      <c r="AL24" s="11">
        <f t="shared" si="11"/>
        <v>0.900900900900901</v>
      </c>
      <c r="AM24" s="10">
        <v>0</v>
      </c>
      <c r="AN24" s="24" t="e">
        <f>0.05+AM24+#REF!</f>
        <v>#REF!</v>
      </c>
      <c r="AO24" s="24" t="e">
        <f>0.5+#REF!</f>
        <v>#REF!</v>
      </c>
      <c r="AP24" s="22" t="e">
        <f t="shared" si="12"/>
        <v>#REF!</v>
      </c>
      <c r="AQ24" s="10" t="s">
        <v>39</v>
      </c>
      <c r="AR24" s="16" t="s">
        <v>860</v>
      </c>
    </row>
    <row r="25" ht="16.5" spans="1:44">
      <c r="A25" s="4" t="s">
        <v>861</v>
      </c>
      <c r="B25" s="10">
        <v>4</v>
      </c>
      <c r="C25" s="10" t="s">
        <v>804</v>
      </c>
      <c r="D25" s="10" t="s">
        <v>300</v>
      </c>
      <c r="E25" s="10" t="s">
        <v>805</v>
      </c>
      <c r="F25" s="4" t="s">
        <v>862</v>
      </c>
      <c r="G25" s="4">
        <v>500</v>
      </c>
      <c r="H25" s="10" t="s">
        <v>758</v>
      </c>
      <c r="I25" s="10" t="s">
        <v>761</v>
      </c>
      <c r="J25" s="10">
        <v>176</v>
      </c>
      <c r="K25" s="10">
        <v>96</v>
      </c>
      <c r="L25" s="10">
        <v>86</v>
      </c>
      <c r="M25" s="10">
        <v>106</v>
      </c>
      <c r="N25" s="10">
        <v>300</v>
      </c>
      <c r="O25" s="10">
        <v>0</v>
      </c>
      <c r="P25" s="10">
        <v>0</v>
      </c>
      <c r="Q25" s="10">
        <v>0</v>
      </c>
      <c r="R25" s="10">
        <v>0</v>
      </c>
      <c r="S25" s="10">
        <v>132</v>
      </c>
      <c r="T25" s="10">
        <v>0</v>
      </c>
      <c r="U25" s="21">
        <f t="shared" si="0"/>
        <v>308</v>
      </c>
      <c r="V25" s="21">
        <f t="shared" si="1"/>
        <v>96</v>
      </c>
      <c r="W25" s="21">
        <f t="shared" si="2"/>
        <v>86</v>
      </c>
      <c r="X25" s="21">
        <f t="shared" si="3"/>
        <v>106</v>
      </c>
      <c r="Y25" s="21">
        <f>U25</f>
        <v>308</v>
      </c>
      <c r="Z25" s="21">
        <f>X25</f>
        <v>106</v>
      </c>
      <c r="AA25" s="22">
        <f t="shared" si="4"/>
        <v>1.752</v>
      </c>
      <c r="AB25" s="23" t="e">
        <f>(N25+G25)*(1+#REF!)+#REF!</f>
        <v>#REF!</v>
      </c>
      <c r="AC25" s="23" t="e">
        <f t="shared" si="5"/>
        <v>#REF!</v>
      </c>
      <c r="AD25" s="10">
        <v>5495</v>
      </c>
      <c r="AE25" s="10">
        <v>0</v>
      </c>
      <c r="AF25" s="5">
        <v>0</v>
      </c>
      <c r="AG25" s="21">
        <f t="shared" si="6"/>
        <v>0</v>
      </c>
      <c r="AH25" s="11">
        <f t="shared" si="7"/>
        <v>1</v>
      </c>
      <c r="AI25" s="6">
        <f t="shared" si="8"/>
        <v>8.75912408759125</v>
      </c>
      <c r="AJ25" s="6">
        <f t="shared" si="9"/>
        <v>7.91896869244937</v>
      </c>
      <c r="AK25" s="11">
        <f t="shared" si="10"/>
        <v>0.912408759124087</v>
      </c>
      <c r="AL25" s="11">
        <f t="shared" si="11"/>
        <v>0.920810313075506</v>
      </c>
      <c r="AM25" s="10">
        <v>0</v>
      </c>
      <c r="AN25" s="24" t="e">
        <f>0.05+AM25+#REF!</f>
        <v>#REF!</v>
      </c>
      <c r="AO25" s="24" t="e">
        <f>0.5+#REF!</f>
        <v>#REF!</v>
      </c>
      <c r="AP25" s="22" t="e">
        <f t="shared" si="12"/>
        <v>#REF!</v>
      </c>
      <c r="AQ25" s="10" t="s">
        <v>39</v>
      </c>
      <c r="AR25" s="16" t="s">
        <v>863</v>
      </c>
    </row>
    <row r="26" ht="16.5" spans="1:44">
      <c r="A26" s="4" t="s">
        <v>864</v>
      </c>
      <c r="B26" s="10">
        <v>4</v>
      </c>
      <c r="C26" s="10" t="s">
        <v>816</v>
      </c>
      <c r="D26" s="10" t="s">
        <v>304</v>
      </c>
      <c r="E26" s="10" t="s">
        <v>817</v>
      </c>
      <c r="F26" s="4" t="s">
        <v>865</v>
      </c>
      <c r="G26" s="4">
        <v>490</v>
      </c>
      <c r="H26" s="10" t="s">
        <v>759</v>
      </c>
      <c r="I26" s="10" t="s">
        <v>760</v>
      </c>
      <c r="J26" s="10">
        <v>90</v>
      </c>
      <c r="K26" s="10">
        <v>168</v>
      </c>
      <c r="L26" s="10">
        <v>114</v>
      </c>
      <c r="M26" s="10">
        <v>91</v>
      </c>
      <c r="N26" s="10">
        <v>303</v>
      </c>
      <c r="O26" s="10">
        <v>0</v>
      </c>
      <c r="P26" s="10">
        <v>0</v>
      </c>
      <c r="Q26" s="10">
        <v>156</v>
      </c>
      <c r="R26" s="10">
        <v>0</v>
      </c>
      <c r="S26" s="10">
        <v>0</v>
      </c>
      <c r="T26" s="10">
        <v>0</v>
      </c>
      <c r="U26" s="21">
        <f t="shared" si="0"/>
        <v>90</v>
      </c>
      <c r="V26" s="21">
        <f t="shared" si="1"/>
        <v>168</v>
      </c>
      <c r="W26" s="21">
        <f t="shared" si="2"/>
        <v>270</v>
      </c>
      <c r="X26" s="21">
        <f t="shared" si="3"/>
        <v>91</v>
      </c>
      <c r="Y26" s="21">
        <f>V26</f>
        <v>168</v>
      </c>
      <c r="Z26" s="21">
        <f>W26</f>
        <v>270</v>
      </c>
      <c r="AA26" s="22">
        <f t="shared" si="4"/>
        <v>1.38</v>
      </c>
      <c r="AB26" s="23" t="e">
        <f>(N26+G26)*(1+#REF!)+#REF!</f>
        <v>#REF!</v>
      </c>
      <c r="AC26" s="23" t="e">
        <f t="shared" si="5"/>
        <v>#REF!</v>
      </c>
      <c r="AD26" s="10">
        <v>5495</v>
      </c>
      <c r="AE26" s="10">
        <v>0</v>
      </c>
      <c r="AF26" s="5">
        <v>0</v>
      </c>
      <c r="AG26" s="21">
        <f t="shared" si="6"/>
        <v>0</v>
      </c>
      <c r="AH26" s="11">
        <f t="shared" si="7"/>
        <v>1</v>
      </c>
      <c r="AI26" s="6">
        <f t="shared" si="8"/>
        <v>14.3835616438356</v>
      </c>
      <c r="AJ26" s="6">
        <f t="shared" si="9"/>
        <v>21.259842519685</v>
      </c>
      <c r="AK26" s="11">
        <f t="shared" si="10"/>
        <v>0.856164383561644</v>
      </c>
      <c r="AL26" s="11">
        <f t="shared" si="11"/>
        <v>0.78740157480315</v>
      </c>
      <c r="AM26" s="10">
        <v>0</v>
      </c>
      <c r="AN26" s="24" t="e">
        <f>0.05+AM26+#REF!</f>
        <v>#REF!</v>
      </c>
      <c r="AO26" s="24" t="e">
        <f>0.5+#REF!</f>
        <v>#REF!</v>
      </c>
      <c r="AP26" s="22" t="e">
        <f t="shared" si="12"/>
        <v>#REF!</v>
      </c>
      <c r="AQ26" s="10" t="s">
        <v>39</v>
      </c>
      <c r="AR26" s="16" t="s">
        <v>866</v>
      </c>
    </row>
    <row r="27" ht="16.5" spans="1:44">
      <c r="A27" s="4" t="s">
        <v>867</v>
      </c>
      <c r="B27" s="10">
        <v>5</v>
      </c>
      <c r="C27" s="10" t="s">
        <v>816</v>
      </c>
      <c r="D27" s="10" t="s">
        <v>303</v>
      </c>
      <c r="E27" s="10" t="s">
        <v>817</v>
      </c>
      <c r="F27" s="4" t="s">
        <v>868</v>
      </c>
      <c r="G27" s="4">
        <v>505</v>
      </c>
      <c r="H27" s="10" t="s">
        <v>759</v>
      </c>
      <c r="I27" s="10" t="s">
        <v>758</v>
      </c>
      <c r="J27" s="10">
        <v>123</v>
      </c>
      <c r="K27" s="10">
        <v>179</v>
      </c>
      <c r="L27" s="10">
        <v>85</v>
      </c>
      <c r="M27" s="10">
        <v>102</v>
      </c>
      <c r="N27" s="10">
        <v>321</v>
      </c>
      <c r="O27" s="10">
        <v>0</v>
      </c>
      <c r="P27" s="10">
        <v>156</v>
      </c>
      <c r="Q27" s="10">
        <v>0</v>
      </c>
      <c r="R27" s="10">
        <v>0</v>
      </c>
      <c r="S27" s="10">
        <v>0</v>
      </c>
      <c r="T27" s="10">
        <v>0</v>
      </c>
      <c r="U27" s="21">
        <f t="shared" si="0"/>
        <v>123</v>
      </c>
      <c r="V27" s="21">
        <f t="shared" si="1"/>
        <v>335</v>
      </c>
      <c r="W27" s="21">
        <f t="shared" si="2"/>
        <v>85</v>
      </c>
      <c r="X27" s="21">
        <f t="shared" si="3"/>
        <v>102</v>
      </c>
      <c r="Y27" s="21">
        <f>V27</f>
        <v>335</v>
      </c>
      <c r="Z27" s="21">
        <f>U27</f>
        <v>123</v>
      </c>
      <c r="AA27" s="22">
        <f t="shared" si="4"/>
        <v>1.921</v>
      </c>
      <c r="AB27" s="23" t="e">
        <f>(N27+G27)*(1+#REF!)+#REF!</f>
        <v>#REF!</v>
      </c>
      <c r="AC27" s="23" t="e">
        <f t="shared" si="5"/>
        <v>#REF!</v>
      </c>
      <c r="AD27" s="10">
        <v>5495</v>
      </c>
      <c r="AE27" s="10">
        <v>0</v>
      </c>
      <c r="AF27" s="5">
        <v>0</v>
      </c>
      <c r="AG27" s="21">
        <f t="shared" si="6"/>
        <v>0</v>
      </c>
      <c r="AH27" s="11">
        <f t="shared" si="7"/>
        <v>1</v>
      </c>
      <c r="AI27" s="6">
        <f t="shared" si="8"/>
        <v>25.0936329588015</v>
      </c>
      <c r="AJ27" s="6">
        <f t="shared" si="9"/>
        <v>7.83410138248847</v>
      </c>
      <c r="AK27" s="11">
        <f t="shared" si="10"/>
        <v>0.749063670411985</v>
      </c>
      <c r="AL27" s="11">
        <f t="shared" si="11"/>
        <v>0.921658986175115</v>
      </c>
      <c r="AM27" s="10">
        <v>0</v>
      </c>
      <c r="AN27" s="24" t="e">
        <f>0.05+AM27+#REF!</f>
        <v>#REF!</v>
      </c>
      <c r="AO27" s="24" t="e">
        <f>0.5+#REF!</f>
        <v>#REF!</v>
      </c>
      <c r="AP27" s="22" t="e">
        <f t="shared" si="12"/>
        <v>#REF!</v>
      </c>
      <c r="AQ27" s="10" t="s">
        <v>39</v>
      </c>
      <c r="AR27" s="16" t="s">
        <v>869</v>
      </c>
    </row>
    <row r="28" ht="16.5" spans="1:44">
      <c r="A28" s="4" t="s">
        <v>870</v>
      </c>
      <c r="B28" s="10">
        <v>6</v>
      </c>
      <c r="C28" s="10" t="s">
        <v>788</v>
      </c>
      <c r="D28" s="10" t="s">
        <v>300</v>
      </c>
      <c r="E28" s="10" t="s">
        <v>789</v>
      </c>
      <c r="F28" s="4" t="s">
        <v>871</v>
      </c>
      <c r="G28" s="4">
        <v>505</v>
      </c>
      <c r="H28" s="10" t="s">
        <v>759</v>
      </c>
      <c r="I28" s="10" t="s">
        <v>760</v>
      </c>
      <c r="J28" s="10">
        <v>97</v>
      </c>
      <c r="K28" s="10">
        <v>176</v>
      </c>
      <c r="L28" s="10">
        <v>118</v>
      </c>
      <c r="M28" s="10">
        <v>89</v>
      </c>
      <c r="N28" s="10">
        <v>323</v>
      </c>
      <c r="O28" s="10">
        <v>0</v>
      </c>
      <c r="P28" s="10">
        <v>156</v>
      </c>
      <c r="Q28" s="10">
        <v>0</v>
      </c>
      <c r="R28" s="10">
        <v>0</v>
      </c>
      <c r="S28" s="10">
        <v>0</v>
      </c>
      <c r="T28" s="10">
        <v>0</v>
      </c>
      <c r="U28" s="21">
        <f t="shared" si="0"/>
        <v>97</v>
      </c>
      <c r="V28" s="21">
        <f t="shared" si="1"/>
        <v>332</v>
      </c>
      <c r="W28" s="21">
        <f t="shared" si="2"/>
        <v>118</v>
      </c>
      <c r="X28" s="21">
        <f t="shared" si="3"/>
        <v>89</v>
      </c>
      <c r="Y28" s="21">
        <f>V28</f>
        <v>332</v>
      </c>
      <c r="Z28" s="21">
        <f>W28</f>
        <v>118</v>
      </c>
      <c r="AA28" s="22">
        <f t="shared" si="4"/>
        <v>1.896</v>
      </c>
      <c r="AB28" s="23" t="e">
        <f>(N28+G28)*(1+#REF!)+#REF!</f>
        <v>#REF!</v>
      </c>
      <c r="AC28" s="23" t="e">
        <f t="shared" si="5"/>
        <v>#REF!</v>
      </c>
      <c r="AD28" s="10">
        <v>5495</v>
      </c>
      <c r="AE28" s="10">
        <v>0</v>
      </c>
      <c r="AF28" s="5">
        <v>0</v>
      </c>
      <c r="AG28" s="21">
        <f t="shared" si="6"/>
        <v>0</v>
      </c>
      <c r="AH28" s="11">
        <f t="shared" si="7"/>
        <v>1</v>
      </c>
      <c r="AI28" s="6">
        <f t="shared" si="8"/>
        <v>24.9249249249249</v>
      </c>
      <c r="AJ28" s="6">
        <f t="shared" si="9"/>
        <v>10.5545617173524</v>
      </c>
      <c r="AK28" s="11">
        <f t="shared" si="10"/>
        <v>0.750750750750751</v>
      </c>
      <c r="AL28" s="11">
        <f t="shared" si="11"/>
        <v>0.894454382826476</v>
      </c>
      <c r="AM28" s="10">
        <v>0.195</v>
      </c>
      <c r="AN28" s="24" t="e">
        <f>0.05+AM28+#REF!</f>
        <v>#REF!</v>
      </c>
      <c r="AO28" s="24" t="e">
        <f>0.5+#REF!</f>
        <v>#REF!</v>
      </c>
      <c r="AP28" s="22" t="e">
        <f t="shared" si="12"/>
        <v>#REF!</v>
      </c>
      <c r="AQ28" s="10" t="s">
        <v>39</v>
      </c>
      <c r="AR28" s="16" t="s">
        <v>872</v>
      </c>
    </row>
    <row r="29" ht="16.5" spans="1:44">
      <c r="A29" s="4" t="s">
        <v>873</v>
      </c>
      <c r="B29" s="10">
        <v>6</v>
      </c>
      <c r="C29" s="10" t="s">
        <v>788</v>
      </c>
      <c r="D29" s="10" t="s">
        <v>300</v>
      </c>
      <c r="E29" s="10" t="s">
        <v>805</v>
      </c>
      <c r="F29" s="4" t="s">
        <v>874</v>
      </c>
      <c r="G29" s="4">
        <v>510</v>
      </c>
      <c r="H29" s="10" t="s">
        <v>758</v>
      </c>
      <c r="I29" s="10" t="s">
        <v>761</v>
      </c>
      <c r="J29" s="10">
        <v>173</v>
      </c>
      <c r="K29" s="10">
        <v>92</v>
      </c>
      <c r="L29" s="10">
        <v>90</v>
      </c>
      <c r="M29" s="10">
        <v>119</v>
      </c>
      <c r="N29" s="10">
        <v>315</v>
      </c>
      <c r="O29" s="10">
        <v>156</v>
      </c>
      <c r="P29" s="10">
        <v>0</v>
      </c>
      <c r="Q29" s="10">
        <v>0</v>
      </c>
      <c r="R29" s="10">
        <v>0</v>
      </c>
      <c r="S29" s="10">
        <v>0</v>
      </c>
      <c r="T29" s="10">
        <v>0</v>
      </c>
      <c r="U29" s="21">
        <f t="shared" si="0"/>
        <v>329</v>
      </c>
      <c r="V29" s="21">
        <f t="shared" si="1"/>
        <v>92</v>
      </c>
      <c r="W29" s="21">
        <f t="shared" si="2"/>
        <v>90</v>
      </c>
      <c r="X29" s="21">
        <f t="shared" si="3"/>
        <v>119</v>
      </c>
      <c r="Y29" s="21">
        <f>U29</f>
        <v>329</v>
      </c>
      <c r="Z29" s="21">
        <f>X29</f>
        <v>119</v>
      </c>
      <c r="AA29" s="22">
        <f t="shared" si="4"/>
        <v>1.883</v>
      </c>
      <c r="AB29" s="23" t="e">
        <f>(N29+G29)*(1+#REF!)+#REF!</f>
        <v>#REF!</v>
      </c>
      <c r="AC29" s="23" t="e">
        <f t="shared" si="5"/>
        <v>#REF!</v>
      </c>
      <c r="AD29" s="10">
        <v>5495</v>
      </c>
      <c r="AE29" s="10">
        <v>0</v>
      </c>
      <c r="AF29" s="5">
        <v>0</v>
      </c>
      <c r="AG29" s="21">
        <f t="shared" si="6"/>
        <v>0</v>
      </c>
      <c r="AH29" s="11">
        <f t="shared" si="7"/>
        <v>1</v>
      </c>
      <c r="AI29" s="6">
        <f t="shared" si="8"/>
        <v>8.42490842490844</v>
      </c>
      <c r="AJ29" s="6">
        <f t="shared" si="9"/>
        <v>8.25688073394497</v>
      </c>
      <c r="AK29" s="11">
        <f t="shared" si="10"/>
        <v>0.915750915750916</v>
      </c>
      <c r="AL29" s="11">
        <f t="shared" si="11"/>
        <v>0.91743119266055</v>
      </c>
      <c r="AM29" s="10">
        <v>0</v>
      </c>
      <c r="AN29" s="24" t="e">
        <f>0.05+AM29+#REF!</f>
        <v>#REF!</v>
      </c>
      <c r="AO29" s="24" t="e">
        <f>0.5+#REF!</f>
        <v>#REF!</v>
      </c>
      <c r="AP29" s="22" t="e">
        <f t="shared" si="12"/>
        <v>#REF!</v>
      </c>
      <c r="AQ29" s="10" t="s">
        <v>39</v>
      </c>
      <c r="AR29" s="16" t="s">
        <v>875</v>
      </c>
    </row>
    <row r="31" spans="1:44">
      <c r="A31" s="9" t="s">
        <v>876</v>
      </c>
    </row>
    <row r="34" spans="1:1">
      <c r="A34" s="9" t="s">
        <v>877</v>
      </c>
    </row>
  </sheetData>
  <autoFilter xmlns:etc="http://www.wps.cn/officeDocument/2017/etCustomData" ref="A2:AR29" etc:filterBottomFollowUsedRange="0">
    <extLst/>
  </autoFilter>
  <mergeCells count="3">
    <mergeCell ref="A1:AR1"/>
    <mergeCell ref="A31:AR32"/>
    <mergeCell ref="A34:AR36"/>
  </mergeCells>
  <conditionalFormatting sqref="AQ3:AQ29">
    <cfRule type="cellIs" dxfId="0" priority="1" operator="equal">
      <formula>"实测"</formula>
    </cfRule>
    <cfRule type="cellIs" dxfId="1" priority="2" operator="equal">
      <formula>"待补录"</formula>
    </cfRule>
    <cfRule type="cellIs" dxfId="2" priority="3" operator="equal">
      <formula>"存疑"</formula>
    </cfRule>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workbookViewId="0">
      <pane ySplit="2" topLeftCell="A3" activePane="bottomLeft" state="frozen"/>
      <selection/>
      <selection pane="bottomLeft" activeCell="A1" sqref="A1:C1"/>
    </sheetView>
  </sheetViews>
  <sheetFormatPr defaultColWidth="9" defaultRowHeight="13.5" outlineLevelCol="2"/>
  <cols>
    <col min="1" max="1" width="26" customWidth="1"/>
    <col min="2" max="2" width="62" customWidth="1"/>
    <col min="3" max="3" width="56" customWidth="1"/>
  </cols>
  <sheetData>
    <row r="1" ht="26" customHeight="1" spans="1:3">
      <c r="A1" s="1" t="s">
        <v>878</v>
      </c>
    </row>
    <row r="2" ht="30" customHeight="1" spans="1:3">
      <c r="A2" s="3" t="s">
        <v>28</v>
      </c>
      <c r="B2" s="3" t="s">
        <v>879</v>
      </c>
      <c r="C2" s="3" t="s">
        <v>880</v>
      </c>
    </row>
    <row r="3" ht="16.5" spans="1:3">
      <c r="A3" s="10" t="s">
        <v>881</v>
      </c>
      <c r="B3" s="16" t="s">
        <v>882</v>
      </c>
      <c r="C3" s="16" t="s">
        <v>883</v>
      </c>
    </row>
    <row r="4" ht="49.5" spans="1:3">
      <c r="A4" s="10" t="s">
        <v>884</v>
      </c>
      <c r="B4" s="16" t="s">
        <v>885</v>
      </c>
      <c r="C4" s="16" t="s">
        <v>886</v>
      </c>
    </row>
    <row r="5" ht="16.5" spans="1:3">
      <c r="A5" s="10" t="s">
        <v>887</v>
      </c>
      <c r="B5" s="16" t="s">
        <v>888</v>
      </c>
      <c r="C5" s="16" t="s">
        <v>889</v>
      </c>
    </row>
    <row r="6" ht="16.5" spans="1:3">
      <c r="A6" s="10" t="s">
        <v>890</v>
      </c>
      <c r="B6" s="16" t="s">
        <v>891</v>
      </c>
      <c r="C6" s="16" t="s">
        <v>892</v>
      </c>
    </row>
    <row r="7" ht="16.5" spans="1:3">
      <c r="A7" s="10" t="s">
        <v>753</v>
      </c>
      <c r="B7" s="16" t="s">
        <v>893</v>
      </c>
      <c r="C7" s="16" t="s">
        <v>894</v>
      </c>
    </row>
    <row r="8" ht="16.5" spans="1:3">
      <c r="A8" s="10" t="s">
        <v>895</v>
      </c>
      <c r="B8" s="16" t="s">
        <v>896</v>
      </c>
      <c r="C8" s="16" t="s">
        <v>897</v>
      </c>
    </row>
    <row r="9" ht="16.5" spans="1:3">
      <c r="A9" s="10" t="s">
        <v>31</v>
      </c>
      <c r="B9" s="16" t="s">
        <v>898</v>
      </c>
      <c r="C9" s="16" t="s">
        <v>899</v>
      </c>
    </row>
    <row r="10" ht="16.5" spans="1:3">
      <c r="A10" s="10" t="s">
        <v>30</v>
      </c>
      <c r="B10" s="16" t="s">
        <v>900</v>
      </c>
      <c r="C10" s="16" t="s">
        <v>901</v>
      </c>
    </row>
    <row r="11" ht="16.5" spans="1:3">
      <c r="A11" s="10" t="s">
        <v>264</v>
      </c>
      <c r="B11" s="16" t="s">
        <v>902</v>
      </c>
      <c r="C11" s="16" t="s">
        <v>903</v>
      </c>
    </row>
    <row r="12" ht="16.5" spans="1:3">
      <c r="A12" s="10" t="s">
        <v>904</v>
      </c>
      <c r="B12" s="16" t="s">
        <v>905</v>
      </c>
      <c r="C12" s="16" t="s">
        <v>906</v>
      </c>
    </row>
    <row r="13" ht="16.5" spans="1:3">
      <c r="A13" s="10" t="s">
        <v>907</v>
      </c>
      <c r="B13" s="16" t="s">
        <v>908</v>
      </c>
      <c r="C13" s="16" t="s">
        <v>909</v>
      </c>
    </row>
    <row r="14" ht="16.5" spans="1:3">
      <c r="A14" s="10" t="s">
        <v>754</v>
      </c>
      <c r="B14" s="16" t="s">
        <v>910</v>
      </c>
      <c r="C14" s="16" t="s">
        <v>911</v>
      </c>
    </row>
    <row r="15" ht="16.5" spans="1:3">
      <c r="A15" s="10" t="s">
        <v>912</v>
      </c>
      <c r="B15" s="16" t="s">
        <v>913</v>
      </c>
      <c r="C15" s="16" t="s">
        <v>914</v>
      </c>
    </row>
  </sheetData>
  <mergeCells count="1">
    <mergeCell ref="A1:C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pane xSplit="1" ySplit="17" topLeftCell="B18" activePane="bottomRight" state="frozen"/>
      <selection/>
      <selection pane="topRight"/>
      <selection pane="bottomLeft"/>
      <selection pane="bottomRight" activeCell="A1" sqref="A1:N1"/>
    </sheetView>
  </sheetViews>
  <sheetFormatPr defaultColWidth="9" defaultRowHeight="13.5"/>
  <cols>
    <col min="1" max="2" width="10" customWidth="1"/>
    <col min="3" max="3" width="13" customWidth="1"/>
    <col min="4" max="4" width="15" customWidth="1"/>
    <col min="5" max="5" width="12" customWidth="1"/>
    <col min="6" max="6" width="13" customWidth="1"/>
    <col min="7" max="7" width="10" customWidth="1"/>
    <col min="8" max="8" width="11" customWidth="1"/>
    <col min="9" max="9" width="13" customWidth="1"/>
    <col min="10" max="10" width="14" customWidth="1"/>
    <col min="11" max="11" width="13" customWidth="1"/>
    <col min="12" max="12" width="15" customWidth="1"/>
    <col min="13" max="13" width="10" customWidth="1"/>
    <col min="14" max="14" width="62" customWidth="1"/>
  </cols>
  <sheetData>
    <row r="1" ht="26" customHeight="1" spans="1:4">
      <c r="A1" s="1" t="s">
        <v>915</v>
      </c>
    </row>
    <row r="3" ht="16.5" spans="1:4">
      <c r="A3" s="2" t="s">
        <v>916</v>
      </c>
    </row>
    <row r="4" ht="16.5" spans="1:4">
      <c r="A4" s="17" t="s">
        <v>917</v>
      </c>
      <c r="B4" s="5">
        <v>40</v>
      </c>
      <c r="C4" s="18" t="s">
        <v>918</v>
      </c>
      <c r="D4" s="9" t="s">
        <v>919</v>
      </c>
    </row>
    <row r="5" ht="16.5" spans="1:4">
      <c r="A5" s="17" t="s">
        <v>920</v>
      </c>
      <c r="B5" s="5">
        <v>1.75</v>
      </c>
      <c r="C5" s="18" t="s">
        <v>921</v>
      </c>
      <c r="D5" s="9" t="s">
        <v>922</v>
      </c>
    </row>
    <row r="6" ht="16.5" spans="1:4">
      <c r="A6" s="17" t="s">
        <v>923</v>
      </c>
      <c r="B6" s="5">
        <v>40</v>
      </c>
      <c r="C6" s="18" t="s">
        <v>177</v>
      </c>
      <c r="D6" s="9" t="s">
        <v>924</v>
      </c>
    </row>
    <row r="7" ht="16.5" spans="1:4">
      <c r="A7" s="17" t="s">
        <v>925</v>
      </c>
      <c r="B7" s="5">
        <v>0.25</v>
      </c>
      <c r="C7" s="18" t="s">
        <v>141</v>
      </c>
      <c r="D7" s="9" t="s">
        <v>926</v>
      </c>
    </row>
    <row r="9" ht="16.5" spans="1:4">
      <c r="A9" s="2" t="s">
        <v>927</v>
      </c>
    </row>
    <row r="10" ht="28" customHeight="1" spans="1:4">
      <c r="A10" s="9" t="s">
        <v>928</v>
      </c>
    </row>
    <row r="11" ht="28" customHeight="1" spans="1:4">
      <c r="A11" s="9" t="s">
        <v>929</v>
      </c>
    </row>
    <row r="12" ht="28" customHeight="1" spans="1:4">
      <c r="A12" s="9" t="s">
        <v>930</v>
      </c>
    </row>
    <row r="13" ht="28" customHeight="1" spans="1:4">
      <c r="A13" s="9" t="s">
        <v>931</v>
      </c>
    </row>
    <row r="14" ht="28" customHeight="1" spans="1:4">
      <c r="A14" s="9" t="s">
        <v>932</v>
      </c>
    </row>
    <row r="15" ht="28" customHeight="1" spans="1:4">
      <c r="A15" s="9" t="s">
        <v>933</v>
      </c>
    </row>
    <row r="17" ht="30" customHeight="1" spans="1:14">
      <c r="A17" s="3" t="s">
        <v>142</v>
      </c>
      <c r="B17" s="3" t="s">
        <v>881</v>
      </c>
      <c r="C17" s="3" t="s">
        <v>934</v>
      </c>
      <c r="D17" s="3" t="s">
        <v>935</v>
      </c>
      <c r="E17" s="3" t="s">
        <v>936</v>
      </c>
      <c r="F17" s="3" t="s">
        <v>937</v>
      </c>
      <c r="G17" s="3" t="s">
        <v>938</v>
      </c>
      <c r="H17" s="3" t="s">
        <v>939</v>
      </c>
      <c r="I17" s="3" t="s">
        <v>940</v>
      </c>
      <c r="J17" s="3" t="s">
        <v>941</v>
      </c>
      <c r="K17" s="3" t="s">
        <v>942</v>
      </c>
      <c r="L17" s="3" t="s">
        <v>943</v>
      </c>
      <c r="M17" s="3" t="s">
        <v>944</v>
      </c>
      <c r="N17" s="3" t="s">
        <v>945</v>
      </c>
    </row>
    <row r="18" ht="16.5" spans="1:14">
      <c r="A18" s="4" t="s">
        <v>823</v>
      </c>
      <c r="B18" s="10" t="s">
        <v>39</v>
      </c>
      <c r="C18" s="10">
        <v>10</v>
      </c>
      <c r="D18" s="10">
        <v>10</v>
      </c>
      <c r="E18" s="10">
        <v>20</v>
      </c>
      <c r="F18" s="10">
        <v>17</v>
      </c>
      <c r="G18" s="10">
        <v>5</v>
      </c>
      <c r="H18" s="10">
        <v>20</v>
      </c>
      <c r="I18" s="19">
        <f t="shared" ref="I18:I48" si="0">IFERROR(C18/100,"")</f>
        <v>0.1</v>
      </c>
      <c r="J18" s="19">
        <f t="shared" ref="J18:J48" si="1">IFERROR($B$5/G18,"")</f>
        <v>0.35</v>
      </c>
      <c r="K18" s="6">
        <f t="shared" ref="K18:K48" si="2">IFERROR(F18*J18*$B$7,0)+IF($B18="实测",IFERROR(C18*$B$4/100,0)+IFERROR(D18/H18,0)+IFERROR(E18/$B$6,0),0)</f>
        <v>6.4875</v>
      </c>
      <c r="L18" s="6">
        <f t="shared" ref="L18:L48" si="3">IFERROR(F18*J18*1,0)+IF($B18="实测",IFERROR(C18*$B$4/100,0)+IFERROR(D18/H18,0)+IFERROR(E18/$B$6,0),0)</f>
        <v>10.95</v>
      </c>
      <c r="M18" s="20">
        <f t="shared" ref="M18:M48" si="4">IFERROR(C18*$B$4/100/K18,"")</f>
        <v>0.616570327552987</v>
      </c>
      <c r="N18" s="8" t="s">
        <v>3</v>
      </c>
    </row>
    <row r="19" ht="16.5" spans="1:14">
      <c r="A19" s="4" t="s">
        <v>803</v>
      </c>
      <c r="B19" s="10" t="s">
        <v>39</v>
      </c>
      <c r="C19" s="10">
        <v>10</v>
      </c>
      <c r="D19" s="10">
        <v>10</v>
      </c>
      <c r="E19" s="10">
        <v>25</v>
      </c>
      <c r="F19" s="10">
        <v>25</v>
      </c>
      <c r="G19" s="10">
        <v>4</v>
      </c>
      <c r="H19" s="10">
        <v>19</v>
      </c>
      <c r="I19" s="19">
        <f t="shared" si="0"/>
        <v>0.1</v>
      </c>
      <c r="J19" s="19">
        <f t="shared" si="1"/>
        <v>0.4375</v>
      </c>
      <c r="K19" s="6">
        <f t="shared" si="2"/>
        <v>7.88569078947368</v>
      </c>
      <c r="L19" s="6">
        <f t="shared" si="3"/>
        <v>16.0888157894737</v>
      </c>
      <c r="M19" s="20">
        <f t="shared" si="4"/>
        <v>0.507247888205235</v>
      </c>
      <c r="N19" s="8" t="s">
        <v>946</v>
      </c>
    </row>
    <row r="20" ht="16.5" spans="1:14">
      <c r="A20" s="4" t="s">
        <v>840</v>
      </c>
      <c r="B20" s="10" t="s">
        <v>39</v>
      </c>
      <c r="C20" s="10">
        <v>10</v>
      </c>
      <c r="D20" s="10">
        <v>10</v>
      </c>
      <c r="E20" s="10">
        <v>20</v>
      </c>
      <c r="F20" s="10">
        <v>15</v>
      </c>
      <c r="G20" s="10">
        <v>4</v>
      </c>
      <c r="H20" s="10">
        <v>20</v>
      </c>
      <c r="I20" s="19">
        <f t="shared" si="0"/>
        <v>0.1</v>
      </c>
      <c r="J20" s="19">
        <f t="shared" si="1"/>
        <v>0.4375</v>
      </c>
      <c r="K20" s="6">
        <f t="shared" si="2"/>
        <v>6.640625</v>
      </c>
      <c r="L20" s="6">
        <f t="shared" si="3"/>
        <v>11.5625</v>
      </c>
      <c r="M20" s="20">
        <f t="shared" si="4"/>
        <v>0.602352941176471</v>
      </c>
      <c r="N20" s="8" t="s">
        <v>3</v>
      </c>
    </row>
    <row r="21" ht="16.5" spans="1:14">
      <c r="A21" s="4" t="s">
        <v>826</v>
      </c>
      <c r="B21" s="10" t="s">
        <v>39</v>
      </c>
      <c r="C21" s="10"/>
      <c r="D21" s="10">
        <v>15</v>
      </c>
      <c r="E21" s="10">
        <v>20</v>
      </c>
      <c r="F21" s="10">
        <v>25</v>
      </c>
      <c r="G21" s="10">
        <v>4</v>
      </c>
      <c r="H21" s="10">
        <v>9</v>
      </c>
      <c r="I21" s="19">
        <f t="shared" si="0"/>
        <v>0</v>
      </c>
      <c r="J21" s="19">
        <f t="shared" si="1"/>
        <v>0.4375</v>
      </c>
      <c r="K21" s="6">
        <f t="shared" si="2"/>
        <v>4.90104166666667</v>
      </c>
      <c r="L21" s="6">
        <f t="shared" si="3"/>
        <v>13.1041666666667</v>
      </c>
      <c r="M21" s="20">
        <f t="shared" si="4"/>
        <v>0</v>
      </c>
      <c r="N21" s="8" t="s">
        <v>947</v>
      </c>
    </row>
    <row r="22" ht="16.5" spans="1:14">
      <c r="A22" s="4" t="s">
        <v>861</v>
      </c>
      <c r="B22" s="10" t="s">
        <v>39</v>
      </c>
      <c r="C22" s="10">
        <v>20</v>
      </c>
      <c r="D22" s="10">
        <v>10</v>
      </c>
      <c r="E22" s="10">
        <v>20</v>
      </c>
      <c r="F22" s="10">
        <v>22</v>
      </c>
      <c r="G22" s="10">
        <v>4</v>
      </c>
      <c r="H22" s="10">
        <v>35</v>
      </c>
      <c r="I22" s="19">
        <f t="shared" si="0"/>
        <v>0.2</v>
      </c>
      <c r="J22" s="19">
        <f t="shared" si="1"/>
        <v>0.4375</v>
      </c>
      <c r="K22" s="6">
        <f t="shared" si="2"/>
        <v>11.1919642857143</v>
      </c>
      <c r="L22" s="6">
        <f t="shared" si="3"/>
        <v>18.4107142857143</v>
      </c>
      <c r="M22" s="20">
        <f t="shared" si="4"/>
        <v>0.714798564020742</v>
      </c>
      <c r="N22" s="8" t="s">
        <v>3</v>
      </c>
    </row>
    <row r="23" ht="16.5" spans="1:14">
      <c r="A23" s="4" t="s">
        <v>858</v>
      </c>
      <c r="B23" s="10" t="s">
        <v>39</v>
      </c>
      <c r="C23" s="10">
        <v>10</v>
      </c>
      <c r="D23" s="10">
        <v>10</v>
      </c>
      <c r="E23" s="10">
        <v>20</v>
      </c>
      <c r="F23" s="10">
        <v>17</v>
      </c>
      <c r="G23" s="10">
        <v>4</v>
      </c>
      <c r="H23" s="10">
        <v>18</v>
      </c>
      <c r="I23" s="19">
        <f t="shared" si="0"/>
        <v>0.1</v>
      </c>
      <c r="J23" s="19">
        <f t="shared" si="1"/>
        <v>0.4375</v>
      </c>
      <c r="K23" s="6">
        <f t="shared" si="2"/>
        <v>6.91493055555556</v>
      </c>
      <c r="L23" s="6">
        <f t="shared" si="3"/>
        <v>12.4930555555556</v>
      </c>
      <c r="M23" s="20">
        <f t="shared" si="4"/>
        <v>0.578458448405724</v>
      </c>
      <c r="N23" s="8" t="s">
        <v>948</v>
      </c>
    </row>
    <row r="24" ht="16.5" spans="1:14">
      <c r="A24" s="4" t="s">
        <v>808</v>
      </c>
      <c r="B24" s="10" t="s">
        <v>39</v>
      </c>
      <c r="C24" s="10">
        <v>10</v>
      </c>
      <c r="D24" s="10">
        <v>15</v>
      </c>
      <c r="E24" s="10"/>
      <c r="F24" s="10">
        <v>20</v>
      </c>
      <c r="G24" s="10">
        <v>4</v>
      </c>
      <c r="H24" s="10">
        <v>20</v>
      </c>
      <c r="I24" s="19">
        <f t="shared" si="0"/>
        <v>0.1</v>
      </c>
      <c r="J24" s="19">
        <f t="shared" si="1"/>
        <v>0.4375</v>
      </c>
      <c r="K24" s="6">
        <f t="shared" si="2"/>
        <v>6.9375</v>
      </c>
      <c r="L24" s="6">
        <f t="shared" si="3"/>
        <v>13.5</v>
      </c>
      <c r="M24" s="20">
        <f t="shared" si="4"/>
        <v>0.576576576576577</v>
      </c>
      <c r="N24" s="8" t="s">
        <v>3</v>
      </c>
    </row>
    <row r="25" ht="16.5" spans="1:14">
      <c r="A25" s="4" t="s">
        <v>856</v>
      </c>
      <c r="B25" s="10" t="s">
        <v>39</v>
      </c>
      <c r="C25" s="10"/>
      <c r="D25" s="10">
        <v>10</v>
      </c>
      <c r="E25" s="10"/>
      <c r="F25" s="10">
        <v>15</v>
      </c>
      <c r="G25" s="10">
        <v>4</v>
      </c>
      <c r="H25" s="10">
        <v>25</v>
      </c>
      <c r="I25" s="19">
        <f t="shared" si="0"/>
        <v>0</v>
      </c>
      <c r="J25" s="19">
        <f t="shared" si="1"/>
        <v>0.4375</v>
      </c>
      <c r="K25" s="6">
        <f t="shared" si="2"/>
        <v>2.040625</v>
      </c>
      <c r="L25" s="6">
        <f t="shared" si="3"/>
        <v>6.9625</v>
      </c>
      <c r="M25" s="20">
        <f t="shared" si="4"/>
        <v>0</v>
      </c>
      <c r="N25" s="8" t="s">
        <v>3</v>
      </c>
    </row>
    <row r="26" ht="16.5" spans="1:14">
      <c r="A26" s="4" t="s">
        <v>843</v>
      </c>
      <c r="B26" s="10" t="s">
        <v>39</v>
      </c>
      <c r="C26" s="10">
        <v>10</v>
      </c>
      <c r="D26" s="10">
        <v>5</v>
      </c>
      <c r="E26" s="10">
        <v>20</v>
      </c>
      <c r="F26" s="10">
        <v>16</v>
      </c>
      <c r="G26" s="10">
        <v>5</v>
      </c>
      <c r="H26" s="10">
        <v>3</v>
      </c>
      <c r="I26" s="19">
        <f t="shared" si="0"/>
        <v>0.1</v>
      </c>
      <c r="J26" s="19">
        <f t="shared" si="1"/>
        <v>0.35</v>
      </c>
      <c r="K26" s="6">
        <f t="shared" si="2"/>
        <v>7.56666666666667</v>
      </c>
      <c r="L26" s="6">
        <f t="shared" si="3"/>
        <v>11.7666666666667</v>
      </c>
      <c r="M26" s="20">
        <f t="shared" si="4"/>
        <v>0.52863436123348</v>
      </c>
      <c r="N26" s="8" t="s">
        <v>949</v>
      </c>
    </row>
    <row r="27" ht="16.5" spans="1:14">
      <c r="A27" s="4" t="s">
        <v>850</v>
      </c>
      <c r="B27" s="10" t="s">
        <v>39</v>
      </c>
      <c r="C27" s="10">
        <v>20</v>
      </c>
      <c r="D27" s="10"/>
      <c r="E27" s="10">
        <v>20</v>
      </c>
      <c r="F27" s="10">
        <v>23</v>
      </c>
      <c r="G27" s="10">
        <v>3</v>
      </c>
      <c r="H27" s="10">
        <v>25</v>
      </c>
      <c r="I27" s="19">
        <f t="shared" si="0"/>
        <v>0.2</v>
      </c>
      <c r="J27" s="19">
        <f t="shared" si="1"/>
        <v>0.583333333333333</v>
      </c>
      <c r="K27" s="6">
        <f t="shared" si="2"/>
        <v>11.8541666666667</v>
      </c>
      <c r="L27" s="6">
        <f t="shared" si="3"/>
        <v>21.9166666666667</v>
      </c>
      <c r="M27" s="20">
        <f t="shared" si="4"/>
        <v>0.674868189806678</v>
      </c>
      <c r="N27" s="8" t="s">
        <v>948</v>
      </c>
    </row>
    <row r="28" ht="16.5" spans="1:14">
      <c r="A28" s="4" t="s">
        <v>829</v>
      </c>
      <c r="B28" s="10" t="s">
        <v>39</v>
      </c>
      <c r="C28" s="10">
        <v>10</v>
      </c>
      <c r="D28" s="10">
        <v>5</v>
      </c>
      <c r="E28" s="10">
        <v>20</v>
      </c>
      <c r="F28" s="10">
        <v>16</v>
      </c>
      <c r="G28" s="10">
        <v>4</v>
      </c>
      <c r="H28" s="10">
        <v>20</v>
      </c>
      <c r="I28" s="19">
        <f t="shared" si="0"/>
        <v>0.1</v>
      </c>
      <c r="J28" s="19">
        <f t="shared" si="1"/>
        <v>0.4375</v>
      </c>
      <c r="K28" s="6">
        <f t="shared" si="2"/>
        <v>6.5</v>
      </c>
      <c r="L28" s="6">
        <f t="shared" si="3"/>
        <v>11.75</v>
      </c>
      <c r="M28" s="20">
        <f t="shared" si="4"/>
        <v>0.615384615384615</v>
      </c>
      <c r="N28" s="8" t="s">
        <v>3</v>
      </c>
    </row>
    <row r="29" ht="16.5" spans="1:14">
      <c r="A29" s="4" t="s">
        <v>815</v>
      </c>
      <c r="B29" s="10" t="s">
        <v>39</v>
      </c>
      <c r="C29" s="10">
        <v>10</v>
      </c>
      <c r="D29" s="10">
        <v>10</v>
      </c>
      <c r="E29" s="10">
        <v>15</v>
      </c>
      <c r="F29" s="10">
        <v>18</v>
      </c>
      <c r="G29" s="10">
        <v>4</v>
      </c>
      <c r="H29" s="10">
        <v>20</v>
      </c>
      <c r="I29" s="19">
        <f t="shared" si="0"/>
        <v>0.1</v>
      </c>
      <c r="J29" s="19">
        <f t="shared" si="1"/>
        <v>0.4375</v>
      </c>
      <c r="K29" s="6">
        <f t="shared" si="2"/>
        <v>6.84375</v>
      </c>
      <c r="L29" s="6">
        <f t="shared" si="3"/>
        <v>12.75</v>
      </c>
      <c r="M29" s="20">
        <f t="shared" si="4"/>
        <v>0.584474885844749</v>
      </c>
      <c r="N29" s="8" t="s">
        <v>3</v>
      </c>
    </row>
    <row r="30" ht="16.5" spans="1:14">
      <c r="A30" s="4" t="s">
        <v>820</v>
      </c>
      <c r="B30" s="10" t="s">
        <v>39</v>
      </c>
      <c r="C30" s="10">
        <v>10</v>
      </c>
      <c r="D30" s="10">
        <v>5</v>
      </c>
      <c r="E30" s="10"/>
      <c r="F30" s="10">
        <v>17</v>
      </c>
      <c r="G30" s="10">
        <v>4</v>
      </c>
      <c r="H30" s="10">
        <v>10</v>
      </c>
      <c r="I30" s="19">
        <f t="shared" si="0"/>
        <v>0.1</v>
      </c>
      <c r="J30" s="19">
        <f t="shared" si="1"/>
        <v>0.4375</v>
      </c>
      <c r="K30" s="6">
        <f t="shared" si="2"/>
        <v>6.359375</v>
      </c>
      <c r="L30" s="6">
        <f t="shared" si="3"/>
        <v>11.9375</v>
      </c>
      <c r="M30" s="20">
        <f t="shared" si="4"/>
        <v>0.628992628992629</v>
      </c>
      <c r="N30" s="8" t="s">
        <v>3</v>
      </c>
    </row>
    <row r="31" ht="16.5" spans="1:14">
      <c r="A31" s="4" t="s">
        <v>787</v>
      </c>
      <c r="B31" s="10" t="s">
        <v>39</v>
      </c>
      <c r="C31" s="10">
        <v>10</v>
      </c>
      <c r="D31" s="10">
        <v>10</v>
      </c>
      <c r="E31" s="10">
        <v>25</v>
      </c>
      <c r="F31" s="10">
        <v>18</v>
      </c>
      <c r="G31" s="10">
        <v>5</v>
      </c>
      <c r="H31" s="10">
        <v>16</v>
      </c>
      <c r="I31" s="19">
        <f t="shared" si="0"/>
        <v>0.1</v>
      </c>
      <c r="J31" s="19">
        <f t="shared" si="1"/>
        <v>0.35</v>
      </c>
      <c r="K31" s="6">
        <f t="shared" si="2"/>
        <v>6.825</v>
      </c>
      <c r="L31" s="6">
        <f t="shared" si="3"/>
        <v>11.55</v>
      </c>
      <c r="M31" s="20">
        <f t="shared" si="4"/>
        <v>0.586080586080586</v>
      </c>
      <c r="N31" s="8" t="s">
        <v>3</v>
      </c>
    </row>
    <row r="32" ht="16.5" spans="1:14">
      <c r="A32" s="4" t="s">
        <v>834</v>
      </c>
      <c r="B32" s="10" t="s">
        <v>39</v>
      </c>
      <c r="C32" s="10">
        <v>10</v>
      </c>
      <c r="D32" s="10">
        <v>10</v>
      </c>
      <c r="E32" s="10">
        <v>3</v>
      </c>
      <c r="F32" s="10">
        <v>18</v>
      </c>
      <c r="G32" s="10">
        <v>4</v>
      </c>
      <c r="H32" s="10">
        <v>18</v>
      </c>
      <c r="I32" s="19">
        <f t="shared" si="0"/>
        <v>0.1</v>
      </c>
      <c r="J32" s="19">
        <f t="shared" si="1"/>
        <v>0.4375</v>
      </c>
      <c r="K32" s="6">
        <f t="shared" si="2"/>
        <v>6.59930555555556</v>
      </c>
      <c r="L32" s="6">
        <f t="shared" si="3"/>
        <v>12.5055555555556</v>
      </c>
      <c r="M32" s="20">
        <f t="shared" si="4"/>
        <v>0.606124381774177</v>
      </c>
      <c r="N32" s="8" t="s">
        <v>950</v>
      </c>
    </row>
    <row r="33" ht="16.5" spans="1:14">
      <c r="A33" s="4" t="s">
        <v>847</v>
      </c>
      <c r="B33" s="10" t="s">
        <v>39</v>
      </c>
      <c r="C33" s="10">
        <v>10</v>
      </c>
      <c r="D33" s="10">
        <v>10</v>
      </c>
      <c r="E33" s="10">
        <v>20</v>
      </c>
      <c r="F33" s="10">
        <v>17</v>
      </c>
      <c r="G33" s="10">
        <v>5</v>
      </c>
      <c r="H33" s="10">
        <v>13</v>
      </c>
      <c r="I33" s="19">
        <f t="shared" si="0"/>
        <v>0.1</v>
      </c>
      <c r="J33" s="19">
        <f t="shared" si="1"/>
        <v>0.35</v>
      </c>
      <c r="K33" s="6">
        <f t="shared" si="2"/>
        <v>6.75673076923077</v>
      </c>
      <c r="L33" s="6">
        <f t="shared" si="3"/>
        <v>11.2192307692308</v>
      </c>
      <c r="M33" s="20">
        <f t="shared" si="4"/>
        <v>0.592002276931834</v>
      </c>
      <c r="N33" s="8" t="s">
        <v>951</v>
      </c>
    </row>
    <row r="34" ht="16.5" spans="1:14">
      <c r="A34" s="4" t="s">
        <v>812</v>
      </c>
      <c r="B34" s="10" t="s">
        <v>39</v>
      </c>
      <c r="C34" s="10">
        <v>20</v>
      </c>
      <c r="D34" s="10">
        <v>10</v>
      </c>
      <c r="E34" s="10"/>
      <c r="F34" s="10">
        <v>18</v>
      </c>
      <c r="G34" s="10">
        <v>5</v>
      </c>
      <c r="H34" s="10">
        <v>10</v>
      </c>
      <c r="I34" s="19">
        <f t="shared" si="0"/>
        <v>0.2</v>
      </c>
      <c r="J34" s="19">
        <f t="shared" si="1"/>
        <v>0.35</v>
      </c>
      <c r="K34" s="6">
        <f t="shared" si="2"/>
        <v>10.575</v>
      </c>
      <c r="L34" s="6">
        <f t="shared" si="3"/>
        <v>15.3</v>
      </c>
      <c r="M34" s="20">
        <f t="shared" si="4"/>
        <v>0.756501182033097</v>
      </c>
      <c r="N34" s="8" t="s">
        <v>952</v>
      </c>
    </row>
    <row r="35" ht="16.5" spans="1:14">
      <c r="A35" s="4" t="s">
        <v>864</v>
      </c>
      <c r="B35" s="10" t="s">
        <v>39</v>
      </c>
      <c r="C35" s="10">
        <v>10</v>
      </c>
      <c r="D35" s="10">
        <v>10</v>
      </c>
      <c r="E35" s="10">
        <v>20</v>
      </c>
      <c r="F35" s="10">
        <v>15</v>
      </c>
      <c r="G35" s="10">
        <v>4</v>
      </c>
      <c r="H35" s="10">
        <v>40</v>
      </c>
      <c r="I35" s="19">
        <f t="shared" si="0"/>
        <v>0.1</v>
      </c>
      <c r="J35" s="19">
        <f t="shared" si="1"/>
        <v>0.4375</v>
      </c>
      <c r="K35" s="6">
        <f t="shared" si="2"/>
        <v>6.390625</v>
      </c>
      <c r="L35" s="6">
        <f t="shared" si="3"/>
        <v>11.3125</v>
      </c>
      <c r="M35" s="20">
        <f t="shared" si="4"/>
        <v>0.625916870415648</v>
      </c>
      <c r="N35" s="8" t="s">
        <v>3</v>
      </c>
    </row>
    <row r="36" ht="16.5" spans="1:14">
      <c r="A36" s="4" t="s">
        <v>853</v>
      </c>
      <c r="B36" s="10" t="s">
        <v>39</v>
      </c>
      <c r="C36" s="10"/>
      <c r="D36" s="10">
        <v>10</v>
      </c>
      <c r="E36" s="10"/>
      <c r="F36" s="10">
        <v>15</v>
      </c>
      <c r="G36" s="10">
        <v>5</v>
      </c>
      <c r="H36" s="10">
        <v>8</v>
      </c>
      <c r="I36" s="19">
        <f t="shared" si="0"/>
        <v>0</v>
      </c>
      <c r="J36" s="19">
        <f t="shared" si="1"/>
        <v>0.35</v>
      </c>
      <c r="K36" s="6">
        <f t="shared" si="2"/>
        <v>2.5625</v>
      </c>
      <c r="L36" s="6">
        <f t="shared" si="3"/>
        <v>6.5</v>
      </c>
      <c r="M36" s="20">
        <f t="shared" si="4"/>
        <v>0</v>
      </c>
      <c r="N36" s="8" t="s">
        <v>3</v>
      </c>
    </row>
    <row r="37" ht="16.5" spans="1:14">
      <c r="A37" s="4" t="s">
        <v>845</v>
      </c>
      <c r="B37" s="10" t="s">
        <v>39</v>
      </c>
      <c r="C37" s="10">
        <v>10</v>
      </c>
      <c r="D37" s="10">
        <v>10</v>
      </c>
      <c r="E37" s="10">
        <v>20</v>
      </c>
      <c r="F37" s="10">
        <v>17</v>
      </c>
      <c r="G37" s="10">
        <v>5</v>
      </c>
      <c r="H37" s="10">
        <v>9</v>
      </c>
      <c r="I37" s="19">
        <f t="shared" si="0"/>
        <v>0.1</v>
      </c>
      <c r="J37" s="19">
        <f t="shared" si="1"/>
        <v>0.35</v>
      </c>
      <c r="K37" s="6">
        <f t="shared" si="2"/>
        <v>7.09861111111111</v>
      </c>
      <c r="L37" s="6">
        <f t="shared" si="3"/>
        <v>11.5611111111111</v>
      </c>
      <c r="M37" s="20">
        <f t="shared" si="4"/>
        <v>0.563490510663275</v>
      </c>
      <c r="N37" s="8" t="s">
        <v>3</v>
      </c>
    </row>
    <row r="38" ht="16.5" spans="1:14">
      <c r="A38" s="4" t="s">
        <v>792</v>
      </c>
      <c r="B38" s="10" t="s">
        <v>39</v>
      </c>
      <c r="C38" s="10">
        <v>10</v>
      </c>
      <c r="D38" s="10"/>
      <c r="E38" s="10">
        <v>35</v>
      </c>
      <c r="F38" s="10">
        <v>16</v>
      </c>
      <c r="G38" s="10">
        <v>5</v>
      </c>
      <c r="H38" s="10">
        <v>16</v>
      </c>
      <c r="I38" s="19">
        <f t="shared" si="0"/>
        <v>0.1</v>
      </c>
      <c r="J38" s="19">
        <f t="shared" si="1"/>
        <v>0.35</v>
      </c>
      <c r="K38" s="6">
        <f t="shared" si="2"/>
        <v>6.275</v>
      </c>
      <c r="L38" s="6">
        <f t="shared" si="3"/>
        <v>10.475</v>
      </c>
      <c r="M38" s="20">
        <f t="shared" si="4"/>
        <v>0.637450199203187</v>
      </c>
      <c r="N38" s="8" t="s">
        <v>3</v>
      </c>
    </row>
    <row r="39" ht="16.5" spans="1:14">
      <c r="A39" s="4" t="s">
        <v>795</v>
      </c>
      <c r="B39" s="10" t="s">
        <v>39</v>
      </c>
      <c r="C39" s="10">
        <v>10</v>
      </c>
      <c r="D39" s="10">
        <v>10</v>
      </c>
      <c r="E39" s="10">
        <v>25</v>
      </c>
      <c r="F39" s="10">
        <v>18</v>
      </c>
      <c r="G39" s="10">
        <v>5</v>
      </c>
      <c r="H39" s="10">
        <v>18</v>
      </c>
      <c r="I39" s="19">
        <f t="shared" si="0"/>
        <v>0.1</v>
      </c>
      <c r="J39" s="19">
        <f t="shared" si="1"/>
        <v>0.35</v>
      </c>
      <c r="K39" s="6">
        <f t="shared" si="2"/>
        <v>6.75555555555556</v>
      </c>
      <c r="L39" s="6">
        <f t="shared" si="3"/>
        <v>11.4805555555556</v>
      </c>
      <c r="M39" s="20">
        <f t="shared" si="4"/>
        <v>0.592105263157895</v>
      </c>
      <c r="N39" s="8" t="s">
        <v>953</v>
      </c>
    </row>
    <row r="40" ht="16.5" spans="1:14">
      <c r="A40" s="4" t="s">
        <v>799</v>
      </c>
      <c r="B40" s="10" t="s">
        <v>39</v>
      </c>
      <c r="C40" s="10">
        <v>10</v>
      </c>
      <c r="D40" s="10">
        <v>10</v>
      </c>
      <c r="E40" s="10">
        <v>15</v>
      </c>
      <c r="F40" s="10">
        <v>19</v>
      </c>
      <c r="G40" s="10">
        <v>4</v>
      </c>
      <c r="H40" s="10">
        <v>16</v>
      </c>
      <c r="I40" s="19">
        <f t="shared" si="0"/>
        <v>0.1</v>
      </c>
      <c r="J40" s="19">
        <f t="shared" si="1"/>
        <v>0.4375</v>
      </c>
      <c r="K40" s="6">
        <f t="shared" si="2"/>
        <v>7.078125</v>
      </c>
      <c r="L40" s="6">
        <f t="shared" si="3"/>
        <v>13.3125</v>
      </c>
      <c r="M40" s="20">
        <f t="shared" si="4"/>
        <v>0.565121412803532</v>
      </c>
      <c r="N40" s="8" t="s">
        <v>3</v>
      </c>
    </row>
    <row r="41" ht="16.5" spans="1:14">
      <c r="A41" s="4" t="s">
        <v>954</v>
      </c>
      <c r="B41" s="10" t="s">
        <v>458</v>
      </c>
      <c r="C41" s="10"/>
      <c r="D41" s="10"/>
      <c r="E41" s="10"/>
      <c r="F41" s="10">
        <v>18</v>
      </c>
      <c r="G41" s="10">
        <v>5</v>
      </c>
      <c r="H41" s="10"/>
      <c r="I41" s="19">
        <f t="shared" si="0"/>
        <v>0</v>
      </c>
      <c r="J41" s="19">
        <f t="shared" si="1"/>
        <v>0.35</v>
      </c>
      <c r="K41" s="6">
        <f t="shared" si="2"/>
        <v>1.575</v>
      </c>
      <c r="L41" s="6">
        <f t="shared" si="3"/>
        <v>6.3</v>
      </c>
      <c r="M41" s="20">
        <f t="shared" si="4"/>
        <v>0</v>
      </c>
      <c r="N41" s="8" t="s">
        <v>955</v>
      </c>
    </row>
    <row r="42" ht="16.5" spans="1:14">
      <c r="A42" s="4" t="s">
        <v>837</v>
      </c>
      <c r="B42" s="10" t="s">
        <v>458</v>
      </c>
      <c r="C42" s="10"/>
      <c r="D42" s="10"/>
      <c r="E42" s="10"/>
      <c r="F42" s="10">
        <v>18</v>
      </c>
      <c r="G42" s="10">
        <v>5</v>
      </c>
      <c r="H42" s="10"/>
      <c r="I42" s="19">
        <f t="shared" si="0"/>
        <v>0</v>
      </c>
      <c r="J42" s="19">
        <f t="shared" si="1"/>
        <v>0.35</v>
      </c>
      <c r="K42" s="6">
        <f t="shared" si="2"/>
        <v>1.575</v>
      </c>
      <c r="L42" s="6">
        <f t="shared" si="3"/>
        <v>6.3</v>
      </c>
      <c r="M42" s="20">
        <f t="shared" si="4"/>
        <v>0</v>
      </c>
      <c r="N42" s="8" t="s">
        <v>955</v>
      </c>
    </row>
    <row r="43" ht="16.5" spans="1:14">
      <c r="A43" s="4" t="s">
        <v>873</v>
      </c>
      <c r="B43" s="10" t="s">
        <v>458</v>
      </c>
      <c r="C43" s="10"/>
      <c r="D43" s="10"/>
      <c r="E43" s="10"/>
      <c r="F43" s="10">
        <v>25</v>
      </c>
      <c r="G43" s="10">
        <v>4</v>
      </c>
      <c r="H43" s="10"/>
      <c r="I43" s="19">
        <f t="shared" si="0"/>
        <v>0</v>
      </c>
      <c r="J43" s="19">
        <f t="shared" si="1"/>
        <v>0.4375</v>
      </c>
      <c r="K43" s="6">
        <f t="shared" si="2"/>
        <v>2.734375</v>
      </c>
      <c r="L43" s="6">
        <f t="shared" si="3"/>
        <v>10.9375</v>
      </c>
      <c r="M43" s="20">
        <f t="shared" si="4"/>
        <v>0</v>
      </c>
      <c r="N43" s="8" t="s">
        <v>955</v>
      </c>
    </row>
    <row r="44" ht="16.5" spans="1:14">
      <c r="A44" s="4" t="s">
        <v>956</v>
      </c>
      <c r="B44" s="10" t="s">
        <v>458</v>
      </c>
      <c r="C44" s="10"/>
      <c r="D44" s="10"/>
      <c r="E44" s="10"/>
      <c r="F44" s="10"/>
      <c r="G44" s="10"/>
      <c r="H44" s="10"/>
      <c r="I44" s="19">
        <f t="shared" si="0"/>
        <v>0</v>
      </c>
      <c r="J44" s="19" t="str">
        <f t="shared" si="1"/>
        <v/>
      </c>
      <c r="K44" s="6">
        <f t="shared" si="2"/>
        <v>0</v>
      </c>
      <c r="L44" s="6">
        <f t="shared" si="3"/>
        <v>0</v>
      </c>
      <c r="M44" s="20" t="str">
        <f t="shared" si="4"/>
        <v/>
      </c>
      <c r="N44" s="8" t="s">
        <v>955</v>
      </c>
    </row>
    <row r="45" ht="16.5" spans="1:14">
      <c r="A45" s="4" t="s">
        <v>957</v>
      </c>
      <c r="B45" s="10" t="s">
        <v>458</v>
      </c>
      <c r="C45" s="10"/>
      <c r="D45" s="10"/>
      <c r="E45" s="10"/>
      <c r="F45" s="10"/>
      <c r="G45" s="10"/>
      <c r="H45" s="10"/>
      <c r="I45" s="19">
        <f t="shared" si="0"/>
        <v>0</v>
      </c>
      <c r="J45" s="19" t="str">
        <f t="shared" si="1"/>
        <v/>
      </c>
      <c r="K45" s="6">
        <f t="shared" si="2"/>
        <v>0</v>
      </c>
      <c r="L45" s="6">
        <f t="shared" si="3"/>
        <v>0</v>
      </c>
      <c r="M45" s="20" t="str">
        <f t="shared" si="4"/>
        <v/>
      </c>
      <c r="N45" s="8" t="s">
        <v>955</v>
      </c>
    </row>
    <row r="46" ht="16.5" spans="1:14">
      <c r="A46" s="4" t="s">
        <v>867</v>
      </c>
      <c r="B46" s="10" t="s">
        <v>458</v>
      </c>
      <c r="C46" s="10"/>
      <c r="D46" s="10"/>
      <c r="E46" s="10"/>
      <c r="F46" s="10"/>
      <c r="G46" s="10"/>
      <c r="H46" s="10"/>
      <c r="I46" s="19">
        <f t="shared" si="0"/>
        <v>0</v>
      </c>
      <c r="J46" s="19" t="str">
        <f t="shared" si="1"/>
        <v/>
      </c>
      <c r="K46" s="6">
        <f t="shared" si="2"/>
        <v>0</v>
      </c>
      <c r="L46" s="6">
        <f t="shared" si="3"/>
        <v>0</v>
      </c>
      <c r="M46" s="20" t="str">
        <f t="shared" si="4"/>
        <v/>
      </c>
      <c r="N46" s="8" t="s">
        <v>955</v>
      </c>
    </row>
    <row r="47" ht="16.5" spans="1:14">
      <c r="A47" s="4" t="s">
        <v>870</v>
      </c>
      <c r="B47" s="10" t="s">
        <v>458</v>
      </c>
      <c r="C47" s="10"/>
      <c r="D47" s="10"/>
      <c r="E47" s="10"/>
      <c r="F47" s="10">
        <v>18</v>
      </c>
      <c r="G47" s="10">
        <v>5</v>
      </c>
      <c r="H47" s="10"/>
      <c r="I47" s="19">
        <f t="shared" si="0"/>
        <v>0</v>
      </c>
      <c r="J47" s="19">
        <f t="shared" si="1"/>
        <v>0.35</v>
      </c>
      <c r="K47" s="6">
        <f t="shared" si="2"/>
        <v>1.575</v>
      </c>
      <c r="L47" s="6">
        <f t="shared" si="3"/>
        <v>6.3</v>
      </c>
      <c r="M47" s="20">
        <f t="shared" si="4"/>
        <v>0</v>
      </c>
      <c r="N47" s="8" t="s">
        <v>955</v>
      </c>
    </row>
    <row r="48" ht="16.5" spans="1:14">
      <c r="A48" s="4" t="s">
        <v>958</v>
      </c>
      <c r="B48" s="10" t="s">
        <v>458</v>
      </c>
      <c r="C48" s="10"/>
      <c r="D48" s="10"/>
      <c r="E48" s="10"/>
      <c r="F48" s="10">
        <v>17</v>
      </c>
      <c r="G48" s="10">
        <v>5</v>
      </c>
      <c r="H48" s="10"/>
      <c r="I48" s="19">
        <f t="shared" si="0"/>
        <v>0</v>
      </c>
      <c r="J48" s="19">
        <f t="shared" si="1"/>
        <v>0.35</v>
      </c>
      <c r="K48" s="6">
        <f t="shared" si="2"/>
        <v>1.4875</v>
      </c>
      <c r="L48" s="6">
        <f t="shared" si="3"/>
        <v>5.95</v>
      </c>
      <c r="M48" s="20">
        <f t="shared" si="4"/>
        <v>0</v>
      </c>
      <c r="N48" s="8" t="s">
        <v>955</v>
      </c>
    </row>
  </sheetData>
  <autoFilter xmlns:etc="http://www.wps.cn/officeDocument/2017/etCustomData" ref="A17:N48" etc:filterBottomFollowUsedRange="0">
    <extLst/>
  </autoFilter>
  <mergeCells count="13">
    <mergeCell ref="A1:N1"/>
    <mergeCell ref="A3:N3"/>
    <mergeCell ref="D4:N4"/>
    <mergeCell ref="D5:N5"/>
    <mergeCell ref="D6:N6"/>
    <mergeCell ref="D7:N7"/>
    <mergeCell ref="A9:N9"/>
    <mergeCell ref="A10:N10"/>
    <mergeCell ref="A11:N11"/>
    <mergeCell ref="A12:N12"/>
    <mergeCell ref="A13:N13"/>
    <mergeCell ref="A14:N14"/>
    <mergeCell ref="A15:N15"/>
  </mergeCells>
  <conditionalFormatting sqref="B18:B48">
    <cfRule type="cellIs" dxfId="0" priority="1" operator="equal">
      <formula>"实测"</formula>
    </cfRule>
    <cfRule type="cellIs" dxfId="1" priority="2" operator="equal">
      <formula>"待补录"</formula>
    </cfRule>
    <cfRule type="cellIs" dxfId="2" priority="3" operator="equal">
      <formula>"存疑"</formula>
    </cfRule>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8"/>
  <sheetViews>
    <sheetView workbookViewId="0">
      <selection activeCell="A1" sqref="A1:H1"/>
    </sheetView>
  </sheetViews>
  <sheetFormatPr defaultColWidth="9" defaultRowHeight="13.5" outlineLevelCol="7"/>
  <cols>
    <col min="1" max="1" width="12" customWidth="1"/>
    <col min="2" max="2" width="11" customWidth="1"/>
    <col min="3" max="3" width="13" customWidth="1"/>
    <col min="4" max="7" width="20" customWidth="1"/>
    <col min="8" max="8" width="46" customWidth="1"/>
  </cols>
  <sheetData>
    <row r="1" ht="26" customHeight="1" spans="1:8">
      <c r="A1" s="1" t="s">
        <v>959</v>
      </c>
    </row>
    <row r="3" ht="16.5" spans="1:8">
      <c r="A3" s="2" t="s">
        <v>960</v>
      </c>
    </row>
    <row r="4" ht="30" customHeight="1" spans="1:8">
      <c r="A4" s="3" t="s">
        <v>961</v>
      </c>
      <c r="B4" s="3" t="s">
        <v>962</v>
      </c>
      <c r="C4" s="3" t="s">
        <v>963</v>
      </c>
      <c r="D4" s="3" t="s">
        <v>964</v>
      </c>
      <c r="E4" s="3" t="s">
        <v>965</v>
      </c>
      <c r="F4" s="3" t="s">
        <v>966</v>
      </c>
      <c r="G4" s="3" t="s">
        <v>967</v>
      </c>
      <c r="H4" s="3" t="s">
        <v>880</v>
      </c>
    </row>
    <row r="5" ht="16.5" spans="1:8">
      <c r="A5" s="4" t="s">
        <v>968</v>
      </c>
      <c r="B5" s="5" t="s">
        <v>812</v>
      </c>
      <c r="C5" s="5" t="s">
        <v>850</v>
      </c>
      <c r="D5" s="5" t="s">
        <v>861</v>
      </c>
      <c r="E5" s="5" t="s">
        <v>803</v>
      </c>
      <c r="F5" s="6">
        <f>IFERROR('10_干员失衡值'!C34*'10_干员失衡值'!$B$4/400,0)+IFERROR('10_干员失衡值'!D34/'10_干员失衡值'!H34,0)+IFERROR('10_干员失衡值'!E34/'10_干员失衡值'!$B$6,0)+IFERROR('10_干员失衡值'!F34*'10_干员失衡值'!J34*'10_干员失衡值'!$B$7,0)+IFERROR('10_干员失衡值'!C27*'10_干员失衡值'!$B$4/400,0)+IFERROR('10_干员失衡值'!D27/'10_干员失衡值'!H27,0)+IFERROR('10_干员失衡值'!E27/'10_干员失衡值'!$B$6,0)+IFERROR('10_干员失衡值'!F27*'10_干员失衡值'!J27*'10_干员失衡值'!$B$7,0)+IFERROR('10_干员失衡值'!C22*'10_干员失衡值'!$B$4/400,0)+IFERROR('10_干员失衡值'!D22/'10_干员失衡值'!H22,0)+IFERROR('10_干员失衡值'!E22/'10_干员失衡值'!$B$6,0)+IFERROR('10_干员失衡值'!F22*'10_干员失衡值'!J22*'10_干员失衡值'!$B$7,0)+IFERROR('10_干员失衡值'!C19*'10_干员失衡值'!$B$4/400,0)+IFERROR('10_干员失衡值'!D19/'10_干员失衡值'!H19,0)+IFERROR('10_干员失衡值'!E19/'10_干员失衡值'!$B$6,0)+IFERROR('10_干员失衡值'!F19*'10_干员失衡值'!J19*'10_干员失衡值'!$B$7,0)</f>
        <v>20.5068217418546</v>
      </c>
      <c r="G5" s="7" t="s">
        <v>969</v>
      </c>
      <c r="H5" s="8" t="s">
        <v>970</v>
      </c>
    </row>
    <row r="6" ht="16.5" spans="1:8">
      <c r="A6" s="4" t="s">
        <v>971</v>
      </c>
      <c r="B6" s="5" t="s">
        <v>850</v>
      </c>
      <c r="C6" s="5" t="s">
        <v>812</v>
      </c>
      <c r="D6" s="5" t="s">
        <v>843</v>
      </c>
      <c r="E6" s="5" t="s">
        <v>853</v>
      </c>
      <c r="F6" s="6">
        <f>IFERROR('10_干员失衡值'!C27*'10_干员失衡值'!$B$4/400,0)+IFERROR('10_干员失衡值'!D27/'10_干员失衡值'!H27,0)+IFERROR('10_干员失衡值'!E27/'10_干员失衡值'!$B$6,0)+IFERROR('10_干员失衡值'!F27*'10_干员失衡值'!J27*'10_干员失衡值'!$B$7,0)+IFERROR('10_干员失衡值'!C34*'10_干员失衡值'!$B$4/400,0)+IFERROR('10_干员失衡值'!D34/'10_干员失衡值'!H34,0)+IFERROR('10_干员失衡值'!E34/'10_干员失衡值'!$B$6,0)+IFERROR('10_干员失衡值'!F34*'10_干员失衡值'!J34*'10_干员失衡值'!$B$7,0)+IFERROR('10_干员失衡值'!C26*'10_干员失衡值'!$B$4/400,0)+IFERROR('10_干员失衡值'!D26/'10_干员失衡值'!H26,0)+IFERROR('10_干员失衡值'!E26/'10_干员失衡值'!$B$6,0)+IFERROR('10_干员失衡值'!F26*'10_干员失衡值'!J26*'10_干员失衡值'!$B$7,0)+IFERROR('10_干员失衡值'!C36*'10_干员失衡值'!$B$4/400,0)+IFERROR('10_干员失衡值'!D36/'10_干员失衡值'!H36,0)+IFERROR('10_干员失衡值'!E36/'10_干员失衡值'!$B$6,0)+IFERROR('10_干员失衡值'!F36*'10_干员失衡值'!J36*'10_干员失衡值'!$B$7,0)</f>
        <v>17.5583333333333</v>
      </c>
      <c r="G6" s="7" t="s">
        <v>969</v>
      </c>
      <c r="H6" s="8" t="s">
        <v>972</v>
      </c>
    </row>
    <row r="7" ht="16.5" spans="1:8">
      <c r="A7" s="4" t="s">
        <v>973</v>
      </c>
      <c r="B7" s="5" t="s">
        <v>853</v>
      </c>
      <c r="C7" s="5" t="s">
        <v>856</v>
      </c>
      <c r="D7" s="5" t="s">
        <v>812</v>
      </c>
      <c r="E7" s="5" t="s">
        <v>850</v>
      </c>
      <c r="F7" s="6">
        <f>IFERROR('10_干员失衡值'!C36*'10_干员失衡值'!$B$4/400,0)+IFERROR('10_干员失衡值'!D36/'10_干员失衡值'!H36,0)+IFERROR('10_干员失衡值'!E36/'10_干员失衡值'!$B$6,0)+IFERROR('10_干员失衡值'!F36*'10_干员失衡值'!J36*'10_干员失衡值'!$B$7,0)+IFERROR('10_干员失衡值'!C25*'10_干员失衡值'!$B$4/400,0)+IFERROR('10_干员失衡值'!D25/'10_干员失衡值'!H25,0)+IFERROR('10_干员失衡值'!E25/'10_干员失衡值'!$B$6,0)+IFERROR('10_干员失衡值'!F25*'10_干员失衡值'!J25*'10_干员失衡值'!$B$7,0)+IFERROR('10_干员失衡值'!C34*'10_干员失衡值'!$B$4/400,0)+IFERROR('10_干员失衡值'!D34/'10_干员失衡值'!H34,0)+IFERROR('10_干员失衡值'!E34/'10_干员失衡值'!$B$6,0)+IFERROR('10_干员失衡值'!F34*'10_干员失衡值'!J34*'10_干员失衡值'!$B$7,0)+IFERROR('10_干员失衡值'!C27*'10_干员失衡值'!$B$4/400,0)+IFERROR('10_干员失衡值'!D27/'10_干员失衡值'!H27,0)+IFERROR('10_干员失衡值'!E27/'10_干员失衡值'!$B$6,0)+IFERROR('10_干员失衡值'!F27*'10_干员失衡值'!J27*'10_干员失衡值'!$B$7,0)</f>
        <v>15.0322916666667</v>
      </c>
      <c r="G7" s="7" t="s">
        <v>969</v>
      </c>
      <c r="H7" s="8" t="s">
        <v>974</v>
      </c>
    </row>
    <row r="8" ht="16.5" spans="1:8">
      <c r="A8" s="4" t="s">
        <v>975</v>
      </c>
      <c r="B8" s="5" t="s">
        <v>853</v>
      </c>
      <c r="C8" s="5" t="s">
        <v>856</v>
      </c>
      <c r="D8" s="5" t="s">
        <v>834</v>
      </c>
      <c r="E8" s="5" t="s">
        <v>820</v>
      </c>
      <c r="F8" s="6">
        <f>IFERROR('10_干员失衡值'!C36*'10_干员失衡值'!$B$4/400,0)+IFERROR('10_干员失衡值'!D36/'10_干员失衡值'!H36,0)+IFERROR('10_干员失衡值'!E36/'10_干员失衡值'!$B$6,0)+IFERROR('10_干员失衡值'!F36*'10_干员失衡值'!J36*'10_干员失衡值'!$B$7,0)+IFERROR('10_干员失衡值'!C25*'10_干员失衡值'!$B$4/400,0)+IFERROR('10_干员失衡值'!D25/'10_干员失衡值'!H25,0)+IFERROR('10_干员失衡值'!E25/'10_干员失衡值'!$B$6,0)+IFERROR('10_干员失衡值'!F25*'10_干员失衡值'!J25*'10_干员失衡值'!$B$7,0)+IFERROR('10_干员失衡值'!C32*'10_干员失衡值'!$B$4/400,0)+IFERROR('10_干员失衡值'!D32/'10_干员失衡值'!H32,0)+IFERROR('10_干员失衡值'!E32/'10_干员失衡值'!$B$6,0)+IFERROR('10_干员失衡值'!F32*'10_干员失衡值'!J32*'10_干员失衡值'!$B$7,0)+IFERROR('10_干员失衡值'!C30*'10_干员失衡值'!$B$4/400,0)+IFERROR('10_干员失衡值'!D30/'10_干员失衡值'!H30,0)+IFERROR('10_干员失衡值'!E30/'10_干员失衡值'!$B$6,0)+IFERROR('10_干员失衡值'!F30*'10_干员失衡值'!J30*'10_干员失衡值'!$B$7,0)</f>
        <v>11.5618055555556</v>
      </c>
      <c r="G8" s="7" t="s">
        <v>969</v>
      </c>
      <c r="H8" s="8" t="s">
        <v>976</v>
      </c>
    </row>
    <row r="10" ht="16.5" spans="1:8">
      <c r="A10" s="2" t="s">
        <v>977</v>
      </c>
    </row>
    <row r="11" ht="14.25" spans="1:8">
      <c r="A11" s="9" t="s">
        <v>978</v>
      </c>
    </row>
    <row r="12" ht="14.25" spans="1:8">
      <c r="A12" s="9" t="s">
        <v>979</v>
      </c>
    </row>
    <row r="13" ht="14.25" spans="1:8">
      <c r="A13" s="9" t="s">
        <v>980</v>
      </c>
    </row>
    <row r="15" ht="30" customHeight="1" spans="1:8">
      <c r="A15" s="3" t="s">
        <v>981</v>
      </c>
      <c r="B15" s="3" t="s">
        <v>982</v>
      </c>
      <c r="C15" s="3" t="s">
        <v>983</v>
      </c>
      <c r="D15" s="3" t="s">
        <v>968</v>
      </c>
      <c r="E15" s="3" t="s">
        <v>971</v>
      </c>
      <c r="F15" s="3" t="s">
        <v>973</v>
      </c>
      <c r="G15" s="3" t="s">
        <v>975</v>
      </c>
    </row>
    <row r="16" ht="16.5" spans="1:8">
      <c r="A16" s="4" t="s">
        <v>984</v>
      </c>
      <c r="B16" s="10">
        <v>60</v>
      </c>
      <c r="C16" s="10">
        <v>6</v>
      </c>
      <c r="D16" s="11">
        <f>1-C16/(B16/$F$5+C16)</f>
        <v>0.327795536507175</v>
      </c>
      <c r="E16" s="11">
        <f>1-C16/(B16/$F$6+C16)</f>
        <v>0.362866646507409</v>
      </c>
      <c r="F16" s="11">
        <f>1-C16/(B16/$F$7+C16)</f>
        <v>0.399483999833548</v>
      </c>
      <c r="G16" s="11">
        <f>1-C16/(B16/$F$8+C16)</f>
        <v>0.463783052594287</v>
      </c>
    </row>
    <row r="17" ht="16.5" spans="1:8">
      <c r="A17" s="4" t="s">
        <v>985</v>
      </c>
      <c r="B17" s="10">
        <v>200</v>
      </c>
      <c r="C17" s="10">
        <v>7</v>
      </c>
      <c r="D17" s="11">
        <f>1-C17/(B17/$F$5+C17)</f>
        <v>0.582160700290809</v>
      </c>
      <c r="E17" s="11">
        <f>1-C17/(B17/$F$6+C17)</f>
        <v>0.619370822472838</v>
      </c>
      <c r="F17" s="11">
        <f>1-C17/(B17/$F$7+C17)</f>
        <v>0.655252084350055</v>
      </c>
      <c r="G17" s="11">
        <f>1-C17/(B17/$F$8+C17)</f>
        <v>0.711914431840373</v>
      </c>
    </row>
    <row r="18" ht="16.5" spans="1:8">
      <c r="A18" s="4" t="s">
        <v>986</v>
      </c>
      <c r="B18" s="10">
        <v>320</v>
      </c>
      <c r="C18" s="10">
        <v>9</v>
      </c>
      <c r="D18" s="11">
        <f>1-C18/(B18/$F$5+C18)</f>
        <v>0.634214196214581</v>
      </c>
      <c r="E18" s="11">
        <f>1-C18/(B18/$F$6+C18)</f>
        <v>0.669421055384133</v>
      </c>
      <c r="F18" s="11">
        <f>1-C18/(B18/$F$7+C18)</f>
        <v>0.702847768938796</v>
      </c>
      <c r="G18" s="11">
        <f>1-C18/(B18/$F$8+C18)</f>
        <v>0.754616869813851</v>
      </c>
    </row>
    <row r="19" ht="16.5" spans="1:8">
      <c r="A19" s="4" t="s">
        <v>987</v>
      </c>
      <c r="B19" s="10">
        <v>320</v>
      </c>
      <c r="C19" s="10">
        <v>9</v>
      </c>
      <c r="D19" s="11">
        <f>1-C19/(B19/$F$5+C19)</f>
        <v>0.634214196214581</v>
      </c>
      <c r="E19" s="11">
        <f>1-C19/(B19/$F$6+C19)</f>
        <v>0.669421055384133</v>
      </c>
      <c r="F19" s="11">
        <f>1-C19/(B19/$F$7+C19)</f>
        <v>0.702847768938796</v>
      </c>
      <c r="G19" s="11">
        <f>1-C19/(B19/$F$8+C19)</f>
        <v>0.754616869813851</v>
      </c>
    </row>
    <row r="20" ht="16.5" spans="1:8">
      <c r="A20" s="4" t="s">
        <v>988</v>
      </c>
      <c r="B20" s="10">
        <v>280</v>
      </c>
      <c r="C20" s="10">
        <v>11</v>
      </c>
      <c r="D20" s="11">
        <f>1-C20/(B20/$F$5+C20)</f>
        <v>0.553824809992579</v>
      </c>
      <c r="E20" s="11">
        <f>1-C20/(B20/$F$6+C20)</f>
        <v>0.591788928615461</v>
      </c>
      <c r="F20" s="11">
        <f>1-C20/(B20/$F$7+C20)</f>
        <v>0.628711632334677</v>
      </c>
      <c r="G20" s="11">
        <f>1-C20/(B20/$F$8+C20)</f>
        <v>0.687656799223657</v>
      </c>
    </row>
    <row r="22" ht="16.5" spans="1:8">
      <c r="A22" s="2" t="s">
        <v>989</v>
      </c>
    </row>
    <row r="23" ht="16.5" spans="1:8">
      <c r="A23" s="12" t="s">
        <v>990</v>
      </c>
      <c r="B23" s="12" t="s">
        <v>991</v>
      </c>
      <c r="C23" s="12" t="s">
        <v>992</v>
      </c>
      <c r="D23" s="12" t="s">
        <v>993</v>
      </c>
      <c r="E23" s="12" t="s">
        <v>994</v>
      </c>
      <c r="F23" s="13" t="s">
        <v>995</v>
      </c>
      <c r="G23" s="14"/>
      <c r="H23" s="15"/>
    </row>
    <row r="24" ht="16.5" spans="1:8">
      <c r="A24" s="10">
        <v>20</v>
      </c>
      <c r="B24" s="10">
        <v>0.2</v>
      </c>
      <c r="C24" s="10">
        <v>0.37</v>
      </c>
      <c r="D24" s="10">
        <v>0.676</v>
      </c>
      <c r="E24" s="10">
        <v>0.771</v>
      </c>
      <c r="F24" s="16" t="s">
        <v>996</v>
      </c>
      <c r="G24" s="14"/>
      <c r="H24" s="15"/>
    </row>
    <row r="25" ht="16.5" spans="1:8">
      <c r="A25" s="10">
        <v>40</v>
      </c>
      <c r="B25" s="10">
        <v>0.4</v>
      </c>
      <c r="C25" s="10">
        <v>0.328</v>
      </c>
      <c r="D25" s="10">
        <v>0.634</v>
      </c>
      <c r="E25" s="10">
        <v>0.755</v>
      </c>
      <c r="F25" s="16" t="s">
        <v>997</v>
      </c>
      <c r="G25" s="14"/>
      <c r="H25" s="15"/>
    </row>
    <row r="26" ht="16.5" spans="1:8">
      <c r="A26" s="10">
        <v>60</v>
      </c>
      <c r="B26" s="10">
        <v>0.6</v>
      </c>
      <c r="C26" s="10">
        <v>0.294</v>
      </c>
      <c r="D26" s="10">
        <v>0.597</v>
      </c>
      <c r="E26" s="10">
        <v>0.739</v>
      </c>
      <c r="F26" s="16" t="s">
        <v>3</v>
      </c>
      <c r="G26" s="14"/>
      <c r="H26" s="15"/>
    </row>
    <row r="27" ht="16.5" spans="1:8">
      <c r="A27" s="10">
        <v>100</v>
      </c>
      <c r="B27" s="10">
        <v>1</v>
      </c>
      <c r="C27" s="10">
        <v>0.244</v>
      </c>
      <c r="D27" s="10">
        <v>0.534</v>
      </c>
      <c r="E27" s="10">
        <v>0.709</v>
      </c>
      <c r="F27" s="16" t="s">
        <v>998</v>
      </c>
      <c r="G27" s="14"/>
      <c r="H27" s="15"/>
    </row>
    <row r="28" ht="16.5" spans="1:8">
      <c r="A28" s="10">
        <v>200</v>
      </c>
      <c r="B28" s="10">
        <v>2</v>
      </c>
      <c r="C28" s="10">
        <v>0.171</v>
      </c>
      <c r="D28" s="10">
        <v>0.423</v>
      </c>
      <c r="E28" s="10">
        <v>0.645</v>
      </c>
      <c r="F28" s="16" t="s">
        <v>999</v>
      </c>
      <c r="G28" s="14"/>
      <c r="H28" s="15"/>
    </row>
  </sheetData>
  <mergeCells count="13">
    <mergeCell ref="A1:H1"/>
    <mergeCell ref="A3:H3"/>
    <mergeCell ref="A10:H10"/>
    <mergeCell ref="A11:H11"/>
    <mergeCell ref="A12:H12"/>
    <mergeCell ref="A13:H13"/>
    <mergeCell ref="A22:H22"/>
    <mergeCell ref="F23:H23"/>
    <mergeCell ref="F24:H24"/>
    <mergeCell ref="F25:H25"/>
    <mergeCell ref="F26:H26"/>
    <mergeCell ref="F27:H27"/>
    <mergeCell ref="F28:H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00_配表说明</vt:lpstr>
      <vt:lpstr>01_伤害乘区总表</vt:lpstr>
      <vt:lpstr>02_乘区参数字典</vt:lpstr>
      <vt:lpstr>03_伤害结算算例</vt:lpstr>
      <vt:lpstr>04_敌方档案与抗性</vt:lpstr>
      <vt:lpstr>05_敌方数值与失衡</vt:lpstr>
      <vt:lpstr>06_通用等级成长曲线</vt:lpstr>
      <vt:lpstr>07_异常状态与法术反应</vt:lpstr>
      <vt:lpstr>08_干员最终面板汇总</vt:lpstr>
      <vt:lpstr>09_枚举字典</vt:lpstr>
      <vt:lpstr>10_干员失衡值</vt:lpstr>
      <vt:lpstr>11_失衡与敌人输出窗口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咸菜黄鸭蛋</cp:lastModifiedBy>
  <dcterms:created xsi:type="dcterms:W3CDTF">2026-09-05T18:00:00Z</dcterms:created>
  <dcterms:modified xsi:type="dcterms:W3CDTF">2026-09-21T05:37:38Z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BC6CADB8732A4979AF717C38604B463C_12</vt:lpwstr>
  </property>
  <property fmtid="{D5CDD505-2E9C-101B-9397-08002B2CF9AE}" pid="3" name="KSOProductBuildVer">
    <vt:lpwstr>2052-12.1.0.28505</vt:lpwstr>
  </property>
  <property fmtid="{D5CDD505-2E9C-101B-9397-08002B2CF9AE}" pid="4" name="CalculationRule">
    <vt:i4>0</vt:i4>
  </property>
</Properties>
</file>